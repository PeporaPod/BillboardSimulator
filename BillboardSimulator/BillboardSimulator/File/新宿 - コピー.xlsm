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ぺぽらポッド\OneDrive\ドキュメント\Visual Studio\Billboard Simulator\Billboard Simulator\File\"/>
    </mc:Choice>
  </mc:AlternateContent>
  <bookViews>
    <workbookView xWindow="0" yWindow="0" windowWidth="28800" windowHeight="11688" firstSheet="1" activeTab="1"/>
  </bookViews>
  <sheets>
    <sheet name="路線" sheetId="4" r:id="rId1"/>
    <sheet name="中央線快速_八王子・大月方面(下り)_平日" sheetId="5" r:id="rId2"/>
    <sheet name="中央線快速_東京方面(上り)_平日" sheetId="1" r:id="rId3"/>
    <sheet name="山手線_池袋・上野方面(外回り)_平日" sheetId="7" r:id="rId4"/>
    <sheet name="計算用紙" sheetId="2" r:id="rId5"/>
  </sheets>
  <definedNames>
    <definedName name="路線名" localSheetId="3">路線[路線名]</definedName>
    <definedName name="路線名" localSheetId="1">路線[路線名]</definedName>
    <definedName name="路線名">路線[路線名]</definedName>
  </definedNames>
  <calcPr calcId="15251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3" i="1"/>
  <c r="K2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289" i="7" l="1"/>
  <c r="U288" i="7"/>
  <c r="U287" i="7"/>
  <c r="U286" i="7"/>
  <c r="U285" i="7"/>
  <c r="U284" i="7"/>
  <c r="U283" i="7"/>
  <c r="U282" i="7"/>
  <c r="U281" i="7"/>
  <c r="U280" i="7"/>
  <c r="U279" i="7"/>
  <c r="U278" i="7"/>
  <c r="U277" i="7"/>
  <c r="U276" i="7"/>
  <c r="U275" i="7"/>
  <c r="U274" i="7"/>
  <c r="U273" i="7"/>
  <c r="U272" i="7"/>
  <c r="U271" i="7"/>
  <c r="U270" i="7"/>
  <c r="U269" i="7"/>
  <c r="U268" i="7"/>
  <c r="U267" i="7"/>
  <c r="U266" i="7"/>
  <c r="U265" i="7"/>
  <c r="U264" i="7"/>
  <c r="U263" i="7"/>
  <c r="U262" i="7"/>
  <c r="U261" i="7"/>
  <c r="U260" i="7"/>
  <c r="U259" i="7"/>
  <c r="U258" i="7"/>
  <c r="U257" i="7"/>
  <c r="U256" i="7"/>
  <c r="U255" i="7"/>
  <c r="U254" i="7"/>
  <c r="U253" i="7"/>
  <c r="U252" i="7"/>
  <c r="U251" i="7"/>
  <c r="U250" i="7"/>
  <c r="U249" i="7"/>
  <c r="U248" i="7"/>
  <c r="U247" i="7"/>
  <c r="U246" i="7"/>
  <c r="U245" i="7"/>
  <c r="U244" i="7"/>
  <c r="U243" i="7"/>
  <c r="U242" i="7"/>
  <c r="U241" i="7"/>
  <c r="U240" i="7"/>
  <c r="U239" i="7"/>
  <c r="U238" i="7"/>
  <c r="U237" i="7"/>
  <c r="U236" i="7"/>
  <c r="U235" i="7"/>
  <c r="U234" i="7"/>
  <c r="U233" i="7"/>
  <c r="U232" i="7"/>
  <c r="U231" i="7"/>
  <c r="U230" i="7"/>
  <c r="U229" i="7"/>
  <c r="U228" i="7"/>
  <c r="U227" i="7"/>
  <c r="U226" i="7"/>
  <c r="U225" i="7"/>
  <c r="U224" i="7"/>
  <c r="U223" i="7"/>
  <c r="U222" i="7"/>
  <c r="U221" i="7"/>
  <c r="U220" i="7"/>
  <c r="U219" i="7"/>
  <c r="U218" i="7"/>
  <c r="U217" i="7"/>
  <c r="U216" i="7"/>
  <c r="U215" i="7"/>
  <c r="U214" i="7"/>
  <c r="U213" i="7"/>
  <c r="U212" i="7"/>
  <c r="U211" i="7"/>
  <c r="U210" i="7"/>
  <c r="U209" i="7"/>
  <c r="U208" i="7"/>
  <c r="U207" i="7"/>
  <c r="U206" i="7"/>
  <c r="U205" i="7"/>
  <c r="U204" i="7"/>
  <c r="U203" i="7"/>
  <c r="U202" i="7"/>
  <c r="U201" i="7"/>
  <c r="U200" i="7"/>
  <c r="U199" i="7"/>
  <c r="U198" i="7"/>
  <c r="U197" i="7"/>
  <c r="U196" i="7"/>
  <c r="U195" i="7"/>
  <c r="U194" i="7"/>
  <c r="U193" i="7"/>
  <c r="U192" i="7"/>
  <c r="U191" i="7"/>
  <c r="U190" i="7"/>
  <c r="U189" i="7"/>
  <c r="U188" i="7"/>
  <c r="U187" i="7"/>
  <c r="U186" i="7"/>
  <c r="U185" i="7"/>
  <c r="U184" i="7"/>
  <c r="U183" i="7"/>
  <c r="U182" i="7"/>
  <c r="U181" i="7"/>
  <c r="U180" i="7"/>
  <c r="U179" i="7"/>
  <c r="U178" i="7"/>
  <c r="U177" i="7"/>
  <c r="U176" i="7"/>
  <c r="U175" i="7"/>
  <c r="U174" i="7"/>
  <c r="U173" i="7"/>
  <c r="U172" i="7"/>
  <c r="U171" i="7"/>
  <c r="U170" i="7"/>
  <c r="U169" i="7"/>
  <c r="U168" i="7"/>
  <c r="U167" i="7"/>
  <c r="U166" i="7"/>
  <c r="U165" i="7"/>
  <c r="U164" i="7"/>
  <c r="U163" i="7"/>
  <c r="U162" i="7"/>
  <c r="U161" i="7"/>
  <c r="U160" i="7"/>
  <c r="U159" i="7"/>
  <c r="U158" i="7"/>
  <c r="U157" i="7"/>
  <c r="U156" i="7"/>
  <c r="U155" i="7"/>
  <c r="U154" i="7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U133" i="7"/>
  <c r="U132" i="7"/>
  <c r="U131" i="7"/>
  <c r="U130" i="7"/>
  <c r="U129" i="7"/>
  <c r="U128" i="7"/>
  <c r="U127" i="7"/>
  <c r="U126" i="7"/>
  <c r="U125" i="7"/>
  <c r="U124" i="7"/>
  <c r="U123" i="7"/>
  <c r="U122" i="7"/>
  <c r="U121" i="7"/>
  <c r="U120" i="7"/>
  <c r="U119" i="7"/>
  <c r="U118" i="7"/>
  <c r="U117" i="7"/>
  <c r="U116" i="7"/>
  <c r="U115" i="7"/>
  <c r="U114" i="7"/>
  <c r="U113" i="7"/>
  <c r="U112" i="7"/>
  <c r="U111" i="7"/>
  <c r="U110" i="7"/>
  <c r="U109" i="7"/>
  <c r="U108" i="7"/>
  <c r="U107" i="7"/>
  <c r="U106" i="7"/>
  <c r="U105" i="7"/>
  <c r="U104" i="7"/>
  <c r="U103" i="7"/>
  <c r="U102" i="7"/>
  <c r="U101" i="7"/>
  <c r="U100" i="7"/>
  <c r="U99" i="7"/>
  <c r="U98" i="7"/>
  <c r="U97" i="7"/>
  <c r="U96" i="7"/>
  <c r="U95" i="7"/>
  <c r="U94" i="7"/>
  <c r="U93" i="7"/>
  <c r="U92" i="7"/>
  <c r="U91" i="7"/>
  <c r="U90" i="7"/>
  <c r="U89" i="7"/>
  <c r="U88" i="7"/>
  <c r="U87" i="7"/>
  <c r="U86" i="7"/>
  <c r="U85" i="7"/>
  <c r="U84" i="7"/>
  <c r="U83" i="7"/>
  <c r="U82" i="7"/>
  <c r="U81" i="7"/>
  <c r="U80" i="7"/>
  <c r="U79" i="7"/>
  <c r="U78" i="7"/>
  <c r="U77" i="7"/>
  <c r="U76" i="7"/>
  <c r="U75" i="7"/>
  <c r="U74" i="7"/>
  <c r="U73" i="7"/>
  <c r="U72" i="7"/>
  <c r="U71" i="7"/>
  <c r="U70" i="7"/>
  <c r="U69" i="7"/>
  <c r="U68" i="7"/>
  <c r="U67" i="7"/>
  <c r="U66" i="7"/>
  <c r="U65" i="7"/>
  <c r="U64" i="7"/>
  <c r="U63" i="7"/>
  <c r="U62" i="7"/>
  <c r="U61" i="7"/>
  <c r="U60" i="7"/>
  <c r="U59" i="7"/>
  <c r="U58" i="7"/>
  <c r="U57" i="7"/>
  <c r="U56" i="7"/>
  <c r="U55" i="7"/>
  <c r="U54" i="7"/>
  <c r="U53" i="7"/>
  <c r="U52" i="7"/>
  <c r="U51" i="7"/>
  <c r="U50" i="7"/>
  <c r="U49" i="7"/>
  <c r="U48" i="7"/>
  <c r="U47" i="7"/>
  <c r="U46" i="7"/>
  <c r="U45" i="7"/>
  <c r="U44" i="7"/>
  <c r="U43" i="7"/>
  <c r="U42" i="7"/>
  <c r="U41" i="7"/>
  <c r="U40" i="7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V191" i="7" l="1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" i="5"/>
  <c r="V273" i="7" l="1"/>
  <c r="V145" i="7"/>
  <c r="V81" i="7"/>
  <c r="V17" i="7"/>
  <c r="V240" i="7"/>
  <c r="V112" i="7"/>
  <c r="V48" i="7"/>
  <c r="V271" i="7"/>
  <c r="V207" i="7"/>
  <c r="V257" i="7"/>
  <c r="V193" i="7"/>
  <c r="V129" i="7"/>
  <c r="V65" i="7"/>
  <c r="V288" i="7"/>
  <c r="V224" i="7"/>
  <c r="V160" i="7"/>
  <c r="V96" i="7"/>
  <c r="V32" i="7"/>
  <c r="V255" i="7"/>
  <c r="V3" i="7"/>
  <c r="V292" i="7"/>
  <c r="V304" i="7"/>
  <c r="V312" i="7"/>
  <c r="V316" i="7"/>
  <c r="V293" i="7"/>
  <c r="V297" i="7"/>
  <c r="V301" i="7"/>
  <c r="V309" i="7"/>
  <c r="V296" i="7"/>
  <c r="V300" i="7"/>
  <c r="V308" i="7"/>
  <c r="V305" i="7"/>
  <c r="V313" i="7"/>
  <c r="V302" i="7"/>
  <c r="V303" i="7"/>
  <c r="V314" i="7"/>
  <c r="V294" i="7"/>
  <c r="V298" i="7"/>
  <c r="V315" i="7"/>
  <c r="V299" i="7"/>
  <c r="V310" i="7"/>
  <c r="V290" i="7"/>
  <c r="V291" i="7"/>
  <c r="V311" i="7"/>
  <c r="V295" i="7"/>
  <c r="V306" i="7"/>
  <c r="V307" i="7"/>
  <c r="V241" i="7"/>
  <c r="V177" i="7"/>
  <c r="V113" i="7"/>
  <c r="V49" i="7"/>
  <c r="V272" i="7"/>
  <c r="V208" i="7"/>
  <c r="V144" i="7"/>
  <c r="V80" i="7"/>
  <c r="V16" i="7"/>
  <c r="V239" i="7"/>
  <c r="V175" i="7"/>
  <c r="V209" i="7"/>
  <c r="V176" i="7"/>
  <c r="V289" i="7"/>
  <c r="V225" i="7"/>
  <c r="V161" i="7"/>
  <c r="V97" i="7"/>
  <c r="V33" i="7"/>
  <c r="V256" i="7"/>
  <c r="V192" i="7"/>
  <c r="V128" i="7"/>
  <c r="V64" i="7"/>
  <c r="V287" i="7"/>
  <c r="V223" i="7"/>
  <c r="V159" i="7"/>
  <c r="V143" i="7"/>
  <c r="V111" i="7"/>
  <c r="V79" i="7"/>
  <c r="V47" i="7"/>
  <c r="V15" i="7"/>
  <c r="V282" i="7"/>
  <c r="V250" i="7"/>
  <c r="V218" i="7"/>
  <c r="V202" i="7"/>
  <c r="V170" i="7"/>
  <c r="V138" i="7"/>
  <c r="V106" i="7"/>
  <c r="V74" i="7"/>
  <c r="V10" i="7"/>
  <c r="V281" i="7"/>
  <c r="V265" i="7"/>
  <c r="V249" i="7"/>
  <c r="V233" i="7"/>
  <c r="V217" i="7"/>
  <c r="V201" i="7"/>
  <c r="V185" i="7"/>
  <c r="V169" i="7"/>
  <c r="V153" i="7"/>
  <c r="V137" i="7"/>
  <c r="V121" i="7"/>
  <c r="V105" i="7"/>
  <c r="V89" i="7"/>
  <c r="V73" i="7"/>
  <c r="V57" i="7"/>
  <c r="V41" i="7"/>
  <c r="V25" i="7"/>
  <c r="V9" i="7"/>
  <c r="V280" i="7"/>
  <c r="V264" i="7"/>
  <c r="V248" i="7"/>
  <c r="V232" i="7"/>
  <c r="V216" i="7"/>
  <c r="V200" i="7"/>
  <c r="V184" i="7"/>
  <c r="V168" i="7"/>
  <c r="V152" i="7"/>
  <c r="V136" i="7"/>
  <c r="V120" i="7"/>
  <c r="V104" i="7"/>
  <c r="V88" i="7"/>
  <c r="V72" i="7"/>
  <c r="V56" i="7"/>
  <c r="V40" i="7"/>
  <c r="V24" i="7"/>
  <c r="V8" i="7"/>
  <c r="V279" i="7"/>
  <c r="V263" i="7"/>
  <c r="V247" i="7"/>
  <c r="V231" i="7"/>
  <c r="V215" i="7"/>
  <c r="V199" i="7"/>
  <c r="V183" i="7"/>
  <c r="V167" i="7"/>
  <c r="V151" i="7"/>
  <c r="V135" i="7"/>
  <c r="V119" i="7"/>
  <c r="V103" i="7"/>
  <c r="V87" i="7"/>
  <c r="V71" i="7"/>
  <c r="V55" i="7"/>
  <c r="V39" i="7"/>
  <c r="V23" i="7"/>
  <c r="V7" i="7"/>
  <c r="V274" i="7"/>
  <c r="V258" i="7"/>
  <c r="V242" i="7"/>
  <c r="V226" i="7"/>
  <c r="V210" i="7"/>
  <c r="V194" i="7"/>
  <c r="V178" i="7"/>
  <c r="V162" i="7"/>
  <c r="V146" i="7"/>
  <c r="V130" i="7"/>
  <c r="V114" i="7"/>
  <c r="V98" i="7"/>
  <c r="V82" i="7"/>
  <c r="V66" i="7"/>
  <c r="V50" i="7"/>
  <c r="V34" i="7"/>
  <c r="V18" i="7"/>
  <c r="V277" i="7"/>
  <c r="V261" i="7"/>
  <c r="V245" i="7"/>
  <c r="V229" i="7"/>
  <c r="V213" i="7"/>
  <c r="V197" i="7"/>
  <c r="V181" i="7"/>
  <c r="V165" i="7"/>
  <c r="V149" i="7"/>
  <c r="V133" i="7"/>
  <c r="V117" i="7"/>
  <c r="V101" i="7"/>
  <c r="V85" i="7"/>
  <c r="V69" i="7"/>
  <c r="V53" i="7"/>
  <c r="V37" i="7"/>
  <c r="V21" i="7"/>
  <c r="V5" i="7"/>
  <c r="V276" i="7"/>
  <c r="V260" i="7"/>
  <c r="V244" i="7"/>
  <c r="V228" i="7"/>
  <c r="V212" i="7"/>
  <c r="V196" i="7"/>
  <c r="V180" i="7"/>
  <c r="V164" i="7"/>
  <c r="V148" i="7"/>
  <c r="V132" i="7"/>
  <c r="V116" i="7"/>
  <c r="V100" i="7"/>
  <c r="V84" i="7"/>
  <c r="V68" i="7"/>
  <c r="V52" i="7"/>
  <c r="V36" i="7"/>
  <c r="V20" i="7"/>
  <c r="V4" i="7"/>
  <c r="V275" i="7"/>
  <c r="V259" i="7"/>
  <c r="V243" i="7"/>
  <c r="V227" i="7"/>
  <c r="V211" i="7"/>
  <c r="V195" i="7"/>
  <c r="V179" i="7"/>
  <c r="V163" i="7"/>
  <c r="V147" i="7"/>
  <c r="V131" i="7"/>
  <c r="V115" i="7"/>
  <c r="V99" i="7"/>
  <c r="V83" i="7"/>
  <c r="V67" i="7"/>
  <c r="V51" i="7"/>
  <c r="V35" i="7"/>
  <c r="V19" i="7"/>
  <c r="V286" i="7"/>
  <c r="V270" i="7"/>
  <c r="V254" i="7"/>
  <c r="V238" i="7"/>
  <c r="V222" i="7"/>
  <c r="V206" i="7"/>
  <c r="V190" i="7"/>
  <c r="V174" i="7"/>
  <c r="V158" i="7"/>
  <c r="V142" i="7"/>
  <c r="V126" i="7"/>
  <c r="V110" i="7"/>
  <c r="V94" i="7"/>
  <c r="V78" i="7"/>
  <c r="V62" i="7"/>
  <c r="V46" i="7"/>
  <c r="V30" i="7"/>
  <c r="V14" i="7"/>
  <c r="V127" i="7"/>
  <c r="V95" i="7"/>
  <c r="V63" i="7"/>
  <c r="V31" i="7"/>
  <c r="V266" i="7"/>
  <c r="V234" i="7"/>
  <c r="V186" i="7"/>
  <c r="V154" i="7"/>
  <c r="V122" i="7"/>
  <c r="V90" i="7"/>
  <c r="V58" i="7"/>
  <c r="V42" i="7"/>
  <c r="V26" i="7"/>
  <c r="V285" i="7"/>
  <c r="V269" i="7"/>
  <c r="V253" i="7"/>
  <c r="V237" i="7"/>
  <c r="V221" i="7"/>
  <c r="V205" i="7"/>
  <c r="V189" i="7"/>
  <c r="V173" i="7"/>
  <c r="V157" i="7"/>
  <c r="V141" i="7"/>
  <c r="V125" i="7"/>
  <c r="V109" i="7"/>
  <c r="V93" i="7"/>
  <c r="V77" i="7"/>
  <c r="V61" i="7"/>
  <c r="V45" i="7"/>
  <c r="V29" i="7"/>
  <c r="V13" i="7"/>
  <c r="V284" i="7"/>
  <c r="V268" i="7"/>
  <c r="V252" i="7"/>
  <c r="V236" i="7"/>
  <c r="V220" i="7"/>
  <c r="V204" i="7"/>
  <c r="V188" i="7"/>
  <c r="V172" i="7"/>
  <c r="V156" i="7"/>
  <c r="V140" i="7"/>
  <c r="V124" i="7"/>
  <c r="V108" i="7"/>
  <c r="V92" i="7"/>
  <c r="V76" i="7"/>
  <c r="V60" i="7"/>
  <c r="V44" i="7"/>
  <c r="V28" i="7"/>
  <c r="V12" i="7"/>
  <c r="V283" i="7"/>
  <c r="V267" i="7"/>
  <c r="V251" i="7"/>
  <c r="V235" i="7"/>
  <c r="V219" i="7"/>
  <c r="V203" i="7"/>
  <c r="V187" i="7"/>
  <c r="V171" i="7"/>
  <c r="V155" i="7"/>
  <c r="V139" i="7"/>
  <c r="V123" i="7"/>
  <c r="V107" i="7"/>
  <c r="V91" i="7"/>
  <c r="V75" i="7"/>
  <c r="V59" i="7"/>
  <c r="V43" i="7"/>
  <c r="V27" i="7"/>
  <c r="V11" i="7"/>
  <c r="V278" i="7"/>
  <c r="V262" i="7"/>
  <c r="V246" i="7"/>
  <c r="V230" i="7"/>
  <c r="V214" i="7"/>
  <c r="V198" i="7"/>
  <c r="V182" i="7"/>
  <c r="V166" i="7"/>
  <c r="V150" i="7"/>
  <c r="V134" i="7"/>
  <c r="V118" i="7"/>
  <c r="V102" i="7"/>
  <c r="V86" i="7"/>
  <c r="V70" i="7"/>
  <c r="V54" i="7"/>
  <c r="V38" i="7"/>
  <c r="V22" i="7"/>
  <c r="V6" i="7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5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4" i="5" l="1"/>
  <c r="K16" i="5" s="1"/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4" i="1"/>
  <c r="K14" i="1" l="1"/>
</calcChain>
</file>

<file path=xl/sharedStrings.xml><?xml version="1.0" encoding="utf-8"?>
<sst xmlns="http://schemas.openxmlformats.org/spreadsheetml/2006/main" count="3185" uniqueCount="72">
  <si>
    <t>路線(Line)</t>
    <rPh sb="0" eb="2">
      <t>ロセン</t>
    </rPh>
    <phoneticPr fontId="1"/>
  </si>
  <si>
    <t>種別(Type)</t>
    <rPh sb="0" eb="2">
      <t>シュベツ</t>
    </rPh>
    <phoneticPr fontId="1"/>
  </si>
  <si>
    <t>発車時刻(Time)</t>
    <rPh sb="0" eb="2">
      <t>ハッシャ</t>
    </rPh>
    <rPh sb="2" eb="4">
      <t>ジコク</t>
    </rPh>
    <phoneticPr fontId="1"/>
  </si>
  <si>
    <t>行先(For)</t>
    <rPh sb="0" eb="2">
      <t>イキサキ</t>
    </rPh>
    <phoneticPr fontId="1"/>
  </si>
  <si>
    <t>のりば(Track)</t>
    <phoneticPr fontId="1"/>
  </si>
  <si>
    <t>始発(Dep.)</t>
    <rPh sb="0" eb="2">
      <t>シハツ</t>
    </rPh>
    <phoneticPr fontId="1"/>
  </si>
  <si>
    <t>路線名</t>
    <rPh sb="0" eb="2">
      <t>ロセン</t>
    </rPh>
    <rPh sb="2" eb="3">
      <t>メイ</t>
    </rPh>
    <phoneticPr fontId="1"/>
  </si>
  <si>
    <t>路線色/赤</t>
    <rPh sb="0" eb="2">
      <t>ロセン</t>
    </rPh>
    <rPh sb="2" eb="3">
      <t>ショク</t>
    </rPh>
    <rPh sb="4" eb="5">
      <t>アカ</t>
    </rPh>
    <phoneticPr fontId="1"/>
  </si>
  <si>
    <t>路線色/緑</t>
    <rPh sb="0" eb="2">
      <t>ロセンショク2</t>
    </rPh>
    <rPh sb="4" eb="5">
      <t>ミドリ</t>
    </rPh>
    <phoneticPr fontId="1"/>
  </si>
  <si>
    <t>路線色/青</t>
    <rPh sb="0" eb="2">
      <t>ロセンショク3</t>
    </rPh>
    <rPh sb="4" eb="5">
      <t>アオ</t>
    </rPh>
    <phoneticPr fontId="1"/>
  </si>
  <si>
    <t>路線色2/赤</t>
    <rPh sb="0" eb="2">
      <t>ロセンショク2</t>
    </rPh>
    <phoneticPr fontId="1"/>
  </si>
  <si>
    <t>路線色2/緑</t>
    <rPh sb="0" eb="2">
      <t>ロセンショク2ミドリ3</t>
    </rPh>
    <phoneticPr fontId="1"/>
  </si>
  <si>
    <t>路線色2/青</t>
    <rPh sb="0" eb="2">
      <t>ロセンショク3アオ4</t>
    </rPh>
    <phoneticPr fontId="1"/>
  </si>
  <si>
    <t>埼京線</t>
    <rPh sb="0" eb="3">
      <t>サイキョウセン</t>
    </rPh>
    <phoneticPr fontId="1"/>
  </si>
  <si>
    <t>埼京線・東京臨海高速鉄道りんかい線直通</t>
    <rPh sb="0" eb="3">
      <t>サイキョウセン</t>
    </rPh>
    <rPh sb="4" eb="6">
      <t>トウキョウ</t>
    </rPh>
    <rPh sb="6" eb="8">
      <t>リンカイ</t>
    </rPh>
    <rPh sb="8" eb="10">
      <t>コウソク</t>
    </rPh>
    <rPh sb="10" eb="12">
      <t>テツドウ</t>
    </rPh>
    <rPh sb="16" eb="17">
      <t>セン</t>
    </rPh>
    <rPh sb="17" eb="19">
      <t>チョクツウ</t>
    </rPh>
    <phoneticPr fontId="1"/>
  </si>
  <si>
    <t>りんかい線</t>
    <rPh sb="4" eb="5">
      <t>セン</t>
    </rPh>
    <phoneticPr fontId="1"/>
  </si>
  <si>
    <t>湘南新宿ライン</t>
    <rPh sb="0" eb="4">
      <t>ショウナンシンジュク</t>
    </rPh>
    <phoneticPr fontId="1"/>
  </si>
  <si>
    <t>中央線(快速)</t>
    <rPh sb="0" eb="3">
      <t>チュウオウセン</t>
    </rPh>
    <rPh sb="4" eb="6">
      <t>カイソク</t>
    </rPh>
    <phoneticPr fontId="1"/>
  </si>
  <si>
    <t>中央本線(特急)</t>
    <rPh sb="0" eb="2">
      <t>チュウオウ</t>
    </rPh>
    <rPh sb="2" eb="4">
      <t>ホンセン</t>
    </rPh>
    <rPh sb="5" eb="7">
      <t>トッキュウ</t>
    </rPh>
    <phoneticPr fontId="1"/>
  </si>
  <si>
    <t>成田エクスプレス</t>
    <rPh sb="0" eb="2">
      <t>ナリタ</t>
    </rPh>
    <phoneticPr fontId="1"/>
  </si>
  <si>
    <t>山手線</t>
    <rPh sb="0" eb="3">
      <t>ヤマノテセン</t>
    </rPh>
    <phoneticPr fontId="1"/>
  </si>
  <si>
    <t>快速</t>
  </si>
  <si>
    <t>中央特快</t>
  </si>
  <si>
    <t>通勤特快</t>
  </si>
  <si>
    <t>特急</t>
  </si>
  <si>
    <t>青梅特快</t>
  </si>
  <si>
    <t>東京</t>
  </si>
  <si>
    <t>千葉</t>
  </si>
  <si>
    <t>始発</t>
    <rPh sb="0" eb="2">
      <t>シハツ</t>
    </rPh>
    <phoneticPr fontId="2"/>
  </si>
  <si>
    <t>四ツ谷/御茶ノ水/神田/東京</t>
    <rPh sb="0" eb="1">
      <t>ヨ</t>
    </rPh>
    <rPh sb="2" eb="3">
      <t>ヤ</t>
    </rPh>
    <rPh sb="4" eb="6">
      <t>オチャ</t>
    </rPh>
    <rPh sb="7" eb="8">
      <t>ミズ</t>
    </rPh>
    <rPh sb="9" eb="11">
      <t>カンダ</t>
    </rPh>
    <rPh sb="12" eb="14">
      <t>トウキョウ</t>
    </rPh>
    <phoneticPr fontId="3"/>
  </si>
  <si>
    <t>東京</t>
    <rPh sb="0" eb="2">
      <t>トウキョウ</t>
    </rPh>
    <phoneticPr fontId="3"/>
  </si>
  <si>
    <t>錦糸町/船橋/千葉</t>
    <rPh sb="0" eb="3">
      <t>キンシチョウ</t>
    </rPh>
    <rPh sb="4" eb="6">
      <t>フナバシ</t>
    </rPh>
    <rPh sb="7" eb="9">
      <t>チバ</t>
    </rPh>
    <phoneticPr fontId="3"/>
  </si>
  <si>
    <t>秋葉原/船橋/津田沼/稲毛/千葉</t>
    <rPh sb="0" eb="3">
      <t>アキハバラ</t>
    </rPh>
    <rPh sb="4" eb="6">
      <t>フナバシ</t>
    </rPh>
    <rPh sb="7" eb="10">
      <t>ツダヌマ</t>
    </rPh>
    <rPh sb="11" eb="13">
      <t>イナゲ</t>
    </rPh>
    <rPh sb="14" eb="16">
      <t>チバ</t>
    </rPh>
    <phoneticPr fontId="3"/>
  </si>
  <si>
    <t>停車駅</t>
    <rPh sb="0" eb="3">
      <t>テイシャエキ</t>
    </rPh>
    <phoneticPr fontId="1"/>
  </si>
  <si>
    <t>中央線(快速)</t>
  </si>
  <si>
    <t>高尾</t>
  </si>
  <si>
    <t>青梅</t>
  </si>
  <si>
    <t>中央本線(特急)</t>
    <rPh sb="2" eb="3">
      <t>ホン</t>
    </rPh>
    <phoneticPr fontId="3"/>
  </si>
  <si>
    <t>松本</t>
  </si>
  <si>
    <t>始発</t>
  </si>
  <si>
    <t>立川</t>
  </si>
  <si>
    <t>南小谷</t>
  </si>
  <si>
    <t>武蔵小金井</t>
  </si>
  <si>
    <t>豊田</t>
  </si>
  <si>
    <t>八王子</t>
  </si>
  <si>
    <t>大月</t>
  </si>
  <si>
    <t>甲府</t>
  </si>
  <si>
    <t>通勤快速</t>
  </si>
  <si>
    <t>箱根ケ崎</t>
  </si>
  <si>
    <t>ライナー</t>
  </si>
  <si>
    <t>河口湖</t>
  </si>
  <si>
    <t>竜王</t>
  </si>
  <si>
    <t>高麗川</t>
  </si>
  <si>
    <t>成田エクスプレス</t>
  </si>
  <si>
    <t>国分寺</t>
  </si>
  <si>
    <t>中央線(快速)</t>
    <phoneticPr fontId="1"/>
  </si>
  <si>
    <t>個数 / 種別(Type)</t>
  </si>
  <si>
    <t>総計</t>
  </si>
  <si>
    <t>個数 / 路線(Line)</t>
  </si>
  <si>
    <t>中央本線(特急)</t>
  </si>
  <si>
    <t>個数 / 行先(For)</t>
  </si>
  <si>
    <t>路線(Line)</t>
  </si>
  <si>
    <t>個数 / 始発(Dep.)</t>
  </si>
  <si>
    <t>種別(Type)</t>
  </si>
  <si>
    <t>行先(For)</t>
  </si>
  <si>
    <t>始発(Dep.)</t>
  </si>
  <si>
    <t>個数 / のりば(Track)</t>
  </si>
  <si>
    <t>のりば(Track)</t>
  </si>
  <si>
    <t>各駅停車</t>
  </si>
  <si>
    <t>池袋・上野方面</t>
    <rPh sb="3" eb="5">
      <t>ウエノ</t>
    </rPh>
    <rPh sb="5" eb="7">
      <t>ホウメン</t>
    </rPh>
    <phoneticPr fontId="1"/>
  </si>
  <si>
    <t>平均運行間隔</t>
    <rPh sb="0" eb="2">
      <t>ヘイキン</t>
    </rPh>
    <rPh sb="2" eb="4">
      <t>ウンコウ</t>
    </rPh>
    <rPh sb="4" eb="6">
      <t>カンカク</t>
    </rPh>
    <phoneticPr fontId="1"/>
  </si>
  <si>
    <t>山手線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</si>
</sst>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h]:mm"/>
    <numFmt numFmtId="177" formatCode="0_);[Red]\(0\)"/>
    <numFmt numFmtId="178" formatCode="m&quot;分&quot;ss&quot;秒&quot;"/>
    <numFmt numFmtId="179" formatCode="0.0_ "/>
  </numFmts>
  <fonts count="4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48D"/>
        <bgColor indexed="64"/>
      </patternFill>
    </fill>
    <fill>
      <gradientFill degree="90">
        <stop position="0">
          <color rgb="FF00B48D"/>
        </stop>
        <stop position="1">
          <color rgb="FF0000FF"/>
        </stop>
      </gradientFill>
    </fill>
    <fill>
      <patternFill patternType="solid">
        <fgColor rgb="FF0000FF"/>
        <bgColor indexed="64"/>
      </patternFill>
    </fill>
    <fill>
      <gradientFill degree="90">
        <stop position="0">
          <color rgb="FFE21F25"/>
        </stop>
        <stop position="1">
          <color rgb="FF0079C1"/>
        </stop>
      </gradientFill>
    </fill>
    <fill>
      <patternFill patternType="solid">
        <fgColor rgb="FFF05A21"/>
        <bgColor indexed="64"/>
      </patternFill>
    </fill>
    <fill>
      <patternFill patternType="solid">
        <fgColor rgb="FF0079C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C342"/>
        <bgColor indexed="64"/>
      </patternFill>
    </fill>
    <fill>
      <patternFill patternType="solid">
        <fgColor theme="1"/>
        <bgColor theme="1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1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178" fontId="2" fillId="10" borderId="0" xfId="0" applyNumberFormat="1" applyFont="1" applyFill="1" applyBorder="1">
      <alignment vertical="center"/>
    </xf>
    <xf numFmtId="176" fontId="0" fillId="0" borderId="0" xfId="0" pivotButton="1" applyNumberFormat="1">
      <alignment vertical="center"/>
    </xf>
    <xf numFmtId="177" fontId="0" fillId="0" borderId="0" xfId="0" applyNumberFormat="1" applyAlignment="1">
      <alignment horizontal="center" vertical="center"/>
    </xf>
    <xf numFmtId="0" fontId="2" fillId="9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</cellXfs>
  <cellStyles count="1">
    <cellStyle name="標準" xfId="0" builtinId="0"/>
  </cellStyles>
  <dxfs count="26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[Red]\(0\)"/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[新宿 - コピー.xlsm]中央線快速_八王子・大月方面(下り)_平日!ピボットテーブル8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'中央線快速_八王子・大月方面(下り)_平日'!$K$7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'中央線快速_八王子・大月方面(下り)_平日'!$J$8:$J$14</c:f>
              <c:strCache>
                <c:ptCount val="6"/>
                <c:pt idx="0">
                  <c:v>快速</c:v>
                </c:pt>
                <c:pt idx="1">
                  <c:v>中央特快</c:v>
                </c:pt>
                <c:pt idx="2">
                  <c:v>特急</c:v>
                </c:pt>
                <c:pt idx="3">
                  <c:v>通勤快速</c:v>
                </c:pt>
                <c:pt idx="4">
                  <c:v>ライナー</c:v>
                </c:pt>
                <c:pt idx="5">
                  <c:v>青梅特快</c:v>
                </c:pt>
              </c:strCache>
            </c:strRef>
          </c:cat>
          <c:val>
            <c:numRef>
              <c:f>'中央線快速_八王子・大月方面(下り)_平日'!$K$8:$K$14</c:f>
              <c:numCache>
                <c:formatCode>General</c:formatCode>
                <c:ptCount val="6"/>
                <c:pt idx="0">
                  <c:v>225</c:v>
                </c:pt>
                <c:pt idx="1">
                  <c:v>36</c:v>
                </c:pt>
                <c:pt idx="2">
                  <c:v>29</c:v>
                </c:pt>
                <c:pt idx="3">
                  <c:v>20</c:v>
                </c:pt>
                <c:pt idx="4">
                  <c:v>8</c:v>
                </c:pt>
                <c:pt idx="5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845-404E-A486-19AC8BE5A5F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'中央線快速_八王子・大月方面(下り)_平日'!$D$3:$D$324</c:f>
              <c:numCache>
                <c:formatCode>[h]:mm</c:formatCode>
                <c:ptCount val="322"/>
                <c:pt idx="0">
                  <c:v>0.26458333333333334</c:v>
                </c:pt>
                <c:pt idx="1">
                  <c:v>0.26805555555555555</c:v>
                </c:pt>
                <c:pt idx="2">
                  <c:v>0.27152777777777776</c:v>
                </c:pt>
                <c:pt idx="3">
                  <c:v>0.27569444444444446</c:v>
                </c:pt>
                <c:pt idx="4">
                  <c:v>0.27916666666666667</c:v>
                </c:pt>
                <c:pt idx="5">
                  <c:v>0.28333333333333333</c:v>
                </c:pt>
                <c:pt idx="6">
                  <c:v>0.28611111111111115</c:v>
                </c:pt>
                <c:pt idx="7">
                  <c:v>0.29166666666666669</c:v>
                </c:pt>
                <c:pt idx="8">
                  <c:v>0.29444444444444445</c:v>
                </c:pt>
                <c:pt idx="9">
                  <c:v>0.2986111111111111</c:v>
                </c:pt>
                <c:pt idx="10">
                  <c:v>0.30277777777777776</c:v>
                </c:pt>
                <c:pt idx="11">
                  <c:v>0.30486111111111108</c:v>
                </c:pt>
                <c:pt idx="12">
                  <c:v>0.30902777777777779</c:v>
                </c:pt>
                <c:pt idx="13">
                  <c:v>0.3125</c:v>
                </c:pt>
                <c:pt idx="14">
                  <c:v>0.31319444444444444</c:v>
                </c:pt>
                <c:pt idx="15">
                  <c:v>0.31527777777777777</c:v>
                </c:pt>
                <c:pt idx="16">
                  <c:v>0.31736111111111115</c:v>
                </c:pt>
                <c:pt idx="17">
                  <c:v>0.32013888888888892</c:v>
                </c:pt>
                <c:pt idx="18">
                  <c:v>0.3215277777777778</c:v>
                </c:pt>
                <c:pt idx="19">
                  <c:v>0.32291666666666669</c:v>
                </c:pt>
                <c:pt idx="20">
                  <c:v>0.32569444444444445</c:v>
                </c:pt>
                <c:pt idx="21">
                  <c:v>0.32916666666666666</c:v>
                </c:pt>
                <c:pt idx="22">
                  <c:v>0.33333333333333331</c:v>
                </c:pt>
                <c:pt idx="23">
                  <c:v>0.33402777777777781</c:v>
                </c:pt>
                <c:pt idx="24">
                  <c:v>0.3354166666666667</c:v>
                </c:pt>
                <c:pt idx="25">
                  <c:v>0.33680555555555558</c:v>
                </c:pt>
                <c:pt idx="26">
                  <c:v>0.33819444444444446</c:v>
                </c:pt>
                <c:pt idx="27">
                  <c:v>0.34027777777777773</c:v>
                </c:pt>
                <c:pt idx="28">
                  <c:v>0.34166666666666662</c:v>
                </c:pt>
                <c:pt idx="29">
                  <c:v>0.34375</c:v>
                </c:pt>
                <c:pt idx="30">
                  <c:v>0.34513888888888888</c:v>
                </c:pt>
                <c:pt idx="31">
                  <c:v>0.34652777777777777</c:v>
                </c:pt>
                <c:pt idx="32">
                  <c:v>0.34861111111111115</c:v>
                </c:pt>
                <c:pt idx="33">
                  <c:v>0.35000000000000003</c:v>
                </c:pt>
                <c:pt idx="34">
                  <c:v>0.35138888888888892</c:v>
                </c:pt>
                <c:pt idx="35">
                  <c:v>0.3527777777777778</c:v>
                </c:pt>
                <c:pt idx="36">
                  <c:v>0.35416666666666669</c:v>
                </c:pt>
                <c:pt idx="37">
                  <c:v>0.35555555555555557</c:v>
                </c:pt>
                <c:pt idx="38">
                  <c:v>0.35694444444444445</c:v>
                </c:pt>
                <c:pt idx="39">
                  <c:v>0.35833333333333334</c:v>
                </c:pt>
                <c:pt idx="40">
                  <c:v>0.35972222222222222</c:v>
                </c:pt>
                <c:pt idx="41">
                  <c:v>0.3611111111111111</c:v>
                </c:pt>
                <c:pt idx="42">
                  <c:v>0.36249999999999999</c:v>
                </c:pt>
                <c:pt idx="43">
                  <c:v>0.36388888888888887</c:v>
                </c:pt>
                <c:pt idx="44">
                  <c:v>0.36527777777777781</c:v>
                </c:pt>
                <c:pt idx="45">
                  <c:v>0.3666666666666667</c:v>
                </c:pt>
                <c:pt idx="46">
                  <c:v>0.36805555555555558</c:v>
                </c:pt>
                <c:pt idx="47">
                  <c:v>0.36944444444444446</c:v>
                </c:pt>
                <c:pt idx="48">
                  <c:v>0.37083333333333335</c:v>
                </c:pt>
                <c:pt idx="49">
                  <c:v>0.37222222222222223</c:v>
                </c:pt>
                <c:pt idx="50">
                  <c:v>0.37361111111111112</c:v>
                </c:pt>
                <c:pt idx="51">
                  <c:v>0.375</c:v>
                </c:pt>
                <c:pt idx="52">
                  <c:v>0.37638888888888888</c:v>
                </c:pt>
                <c:pt idx="53">
                  <c:v>0.37777777777777777</c:v>
                </c:pt>
                <c:pt idx="54">
                  <c:v>0.37916666666666665</c:v>
                </c:pt>
                <c:pt idx="55">
                  <c:v>0.38055555555555554</c:v>
                </c:pt>
                <c:pt idx="56">
                  <c:v>0.38194444444444442</c:v>
                </c:pt>
                <c:pt idx="57">
                  <c:v>0.3833333333333333</c:v>
                </c:pt>
                <c:pt idx="58">
                  <c:v>0.38472222222222219</c:v>
                </c:pt>
                <c:pt idx="59">
                  <c:v>0.38611111111111113</c:v>
                </c:pt>
                <c:pt idx="60">
                  <c:v>0.38750000000000001</c:v>
                </c:pt>
                <c:pt idx="61">
                  <c:v>0.3888888888888889</c:v>
                </c:pt>
                <c:pt idx="62">
                  <c:v>0.39027777777777778</c:v>
                </c:pt>
                <c:pt idx="63">
                  <c:v>0.39166666666666666</c:v>
                </c:pt>
                <c:pt idx="64">
                  <c:v>0.39305555555555555</c:v>
                </c:pt>
                <c:pt idx="65">
                  <c:v>0.39444444444444443</c:v>
                </c:pt>
                <c:pt idx="66">
                  <c:v>0.39652777777777781</c:v>
                </c:pt>
                <c:pt idx="67">
                  <c:v>0.39930555555555558</c:v>
                </c:pt>
                <c:pt idx="68">
                  <c:v>0.40069444444444446</c:v>
                </c:pt>
                <c:pt idx="69">
                  <c:v>0.40208333333333335</c:v>
                </c:pt>
                <c:pt idx="70">
                  <c:v>0.40416666666666662</c:v>
                </c:pt>
                <c:pt idx="71">
                  <c:v>0.40763888888888888</c:v>
                </c:pt>
                <c:pt idx="72">
                  <c:v>0.40902777777777777</c:v>
                </c:pt>
                <c:pt idx="73">
                  <c:v>0.41041666666666665</c:v>
                </c:pt>
                <c:pt idx="74">
                  <c:v>0.41250000000000003</c:v>
                </c:pt>
                <c:pt idx="75">
                  <c:v>0.41666666666666669</c:v>
                </c:pt>
                <c:pt idx="76">
                  <c:v>0.41736111111111113</c:v>
                </c:pt>
                <c:pt idx="77">
                  <c:v>0.4201388888888889</c:v>
                </c:pt>
                <c:pt idx="78">
                  <c:v>0.42152777777777778</c:v>
                </c:pt>
                <c:pt idx="79">
                  <c:v>0.4236111111111111</c:v>
                </c:pt>
                <c:pt idx="80">
                  <c:v>0.42499999999999999</c:v>
                </c:pt>
                <c:pt idx="81">
                  <c:v>0.42777777777777781</c:v>
                </c:pt>
                <c:pt idx="82">
                  <c:v>0.43263888888888885</c:v>
                </c:pt>
                <c:pt idx="83">
                  <c:v>0.43402777777777773</c:v>
                </c:pt>
                <c:pt idx="84">
                  <c:v>0.4381944444444445</c:v>
                </c:pt>
                <c:pt idx="85">
                  <c:v>0.44236111111111115</c:v>
                </c:pt>
                <c:pt idx="86">
                  <c:v>0.44375000000000003</c:v>
                </c:pt>
                <c:pt idx="87">
                  <c:v>0.44791666666666669</c:v>
                </c:pt>
                <c:pt idx="88">
                  <c:v>0.44930555555555557</c:v>
                </c:pt>
                <c:pt idx="89">
                  <c:v>0.45069444444444445</c:v>
                </c:pt>
                <c:pt idx="90">
                  <c:v>0.45347222222222222</c:v>
                </c:pt>
                <c:pt idx="91">
                  <c:v>0.45833333333333331</c:v>
                </c:pt>
                <c:pt idx="92">
                  <c:v>0.4597222222222222</c:v>
                </c:pt>
                <c:pt idx="93">
                  <c:v>0.46319444444444446</c:v>
                </c:pt>
                <c:pt idx="94">
                  <c:v>0.46458333333333335</c:v>
                </c:pt>
                <c:pt idx="95">
                  <c:v>0.46666666666666662</c:v>
                </c:pt>
                <c:pt idx="96">
                  <c:v>0.4694444444444445</c:v>
                </c:pt>
                <c:pt idx="97">
                  <c:v>0.47291666666666665</c:v>
                </c:pt>
                <c:pt idx="98">
                  <c:v>0.47500000000000003</c:v>
                </c:pt>
                <c:pt idx="99">
                  <c:v>0.47916666666666669</c:v>
                </c:pt>
                <c:pt idx="100">
                  <c:v>0.47986111111111113</c:v>
                </c:pt>
                <c:pt idx="101">
                  <c:v>0.48402777777777778</c:v>
                </c:pt>
                <c:pt idx="102">
                  <c:v>0.48541666666666666</c:v>
                </c:pt>
                <c:pt idx="103">
                  <c:v>0.48888888888888887</c:v>
                </c:pt>
                <c:pt idx="104">
                  <c:v>0.49027777777777781</c:v>
                </c:pt>
                <c:pt idx="105">
                  <c:v>0.49444444444444446</c:v>
                </c:pt>
                <c:pt idx="106">
                  <c:v>0.49583333333333335</c:v>
                </c:pt>
                <c:pt idx="107">
                  <c:v>0.5</c:v>
                </c:pt>
                <c:pt idx="108">
                  <c:v>0.50069444444444444</c:v>
                </c:pt>
                <c:pt idx="109">
                  <c:v>0.50208333333333333</c:v>
                </c:pt>
                <c:pt idx="110">
                  <c:v>0.50694444444444442</c:v>
                </c:pt>
                <c:pt idx="111">
                  <c:v>0.5083333333333333</c:v>
                </c:pt>
                <c:pt idx="112">
                  <c:v>0.51180555555555551</c:v>
                </c:pt>
                <c:pt idx="113">
                  <c:v>0.51527777777777783</c:v>
                </c:pt>
                <c:pt idx="114">
                  <c:v>0.51666666666666672</c:v>
                </c:pt>
                <c:pt idx="115">
                  <c:v>0.52083333333333337</c:v>
                </c:pt>
                <c:pt idx="116">
                  <c:v>0.52152777777777781</c:v>
                </c:pt>
                <c:pt idx="117">
                  <c:v>0.52569444444444446</c:v>
                </c:pt>
                <c:pt idx="118">
                  <c:v>0.52708333333333335</c:v>
                </c:pt>
                <c:pt idx="119">
                  <c:v>0.53055555555555556</c:v>
                </c:pt>
                <c:pt idx="120">
                  <c:v>0.53194444444444444</c:v>
                </c:pt>
                <c:pt idx="121">
                  <c:v>0.53611111111111109</c:v>
                </c:pt>
                <c:pt idx="122">
                  <c:v>0.53749999999999998</c:v>
                </c:pt>
                <c:pt idx="123">
                  <c:v>0.54166666666666663</c:v>
                </c:pt>
                <c:pt idx="124">
                  <c:v>0.54305555555555551</c:v>
                </c:pt>
                <c:pt idx="125">
                  <c:v>0.54652777777777783</c:v>
                </c:pt>
                <c:pt idx="126">
                  <c:v>0.54791666666666672</c:v>
                </c:pt>
                <c:pt idx="127">
                  <c:v>0.54999999999999993</c:v>
                </c:pt>
                <c:pt idx="128">
                  <c:v>0.55277777777777781</c:v>
                </c:pt>
                <c:pt idx="129">
                  <c:v>0.55694444444444446</c:v>
                </c:pt>
                <c:pt idx="130">
                  <c:v>0.55833333333333335</c:v>
                </c:pt>
                <c:pt idx="131">
                  <c:v>0.5625</c:v>
                </c:pt>
                <c:pt idx="132">
                  <c:v>0.56319444444444444</c:v>
                </c:pt>
                <c:pt idx="133">
                  <c:v>0.56736111111111109</c:v>
                </c:pt>
                <c:pt idx="134">
                  <c:v>0.56874999999999998</c:v>
                </c:pt>
                <c:pt idx="135">
                  <c:v>0.57222222222222219</c:v>
                </c:pt>
                <c:pt idx="136">
                  <c:v>0.57361111111111118</c:v>
                </c:pt>
                <c:pt idx="137">
                  <c:v>0.57777777777777783</c:v>
                </c:pt>
                <c:pt idx="138">
                  <c:v>0.57916666666666672</c:v>
                </c:pt>
                <c:pt idx="139">
                  <c:v>0.58333333333333337</c:v>
                </c:pt>
                <c:pt idx="140">
                  <c:v>0.58472222222222225</c:v>
                </c:pt>
                <c:pt idx="141">
                  <c:v>0.58819444444444446</c:v>
                </c:pt>
                <c:pt idx="142">
                  <c:v>0.58958333333333335</c:v>
                </c:pt>
                <c:pt idx="143">
                  <c:v>0.59166666666666667</c:v>
                </c:pt>
                <c:pt idx="144">
                  <c:v>0.59513888888888888</c:v>
                </c:pt>
                <c:pt idx="145">
                  <c:v>0.59861111111111109</c:v>
                </c:pt>
                <c:pt idx="146">
                  <c:v>0.6</c:v>
                </c:pt>
                <c:pt idx="147">
                  <c:v>0.60416666666666663</c:v>
                </c:pt>
                <c:pt idx="148">
                  <c:v>0.60486111111111118</c:v>
                </c:pt>
                <c:pt idx="149">
                  <c:v>0.60902777777777783</c:v>
                </c:pt>
                <c:pt idx="150">
                  <c:v>0.61041666666666672</c:v>
                </c:pt>
                <c:pt idx="151">
                  <c:v>0.61388888888888882</c:v>
                </c:pt>
                <c:pt idx="152">
                  <c:v>0.61527777777777781</c:v>
                </c:pt>
                <c:pt idx="153">
                  <c:v>0.61944444444444446</c:v>
                </c:pt>
                <c:pt idx="154">
                  <c:v>0.62083333333333335</c:v>
                </c:pt>
                <c:pt idx="155">
                  <c:v>0.625</c:v>
                </c:pt>
                <c:pt idx="156">
                  <c:v>0.62638888888888888</c:v>
                </c:pt>
                <c:pt idx="157">
                  <c:v>0.62986111111111109</c:v>
                </c:pt>
                <c:pt idx="158">
                  <c:v>0.63124999999999998</c:v>
                </c:pt>
                <c:pt idx="159">
                  <c:v>0.6333333333333333</c:v>
                </c:pt>
                <c:pt idx="160">
                  <c:v>0.63541666666666663</c:v>
                </c:pt>
                <c:pt idx="161">
                  <c:v>0.63958333333333328</c:v>
                </c:pt>
                <c:pt idx="162">
                  <c:v>0.64166666666666672</c:v>
                </c:pt>
                <c:pt idx="163">
                  <c:v>0.64583333333333337</c:v>
                </c:pt>
                <c:pt idx="164">
                  <c:v>0.64652777777777781</c:v>
                </c:pt>
                <c:pt idx="165">
                  <c:v>0.65069444444444446</c:v>
                </c:pt>
                <c:pt idx="166">
                  <c:v>0.65208333333333335</c:v>
                </c:pt>
                <c:pt idx="167">
                  <c:v>0.65625</c:v>
                </c:pt>
                <c:pt idx="168">
                  <c:v>0.65763888888888888</c:v>
                </c:pt>
                <c:pt idx="169">
                  <c:v>0.66111111111111109</c:v>
                </c:pt>
                <c:pt idx="170">
                  <c:v>0.66319444444444442</c:v>
                </c:pt>
                <c:pt idx="171">
                  <c:v>0.66666666666666663</c:v>
                </c:pt>
                <c:pt idx="172">
                  <c:v>0.66805555555555562</c:v>
                </c:pt>
                <c:pt idx="173">
                  <c:v>0.67152777777777783</c:v>
                </c:pt>
                <c:pt idx="174">
                  <c:v>0.67291666666666661</c:v>
                </c:pt>
                <c:pt idx="175">
                  <c:v>0.67499999999999993</c:v>
                </c:pt>
                <c:pt idx="176">
                  <c:v>0.6791666666666667</c:v>
                </c:pt>
                <c:pt idx="177">
                  <c:v>0.68055555555555547</c:v>
                </c:pt>
                <c:pt idx="178">
                  <c:v>0.68402777777777779</c:v>
                </c:pt>
                <c:pt idx="179">
                  <c:v>0.6875</c:v>
                </c:pt>
                <c:pt idx="180">
                  <c:v>0.68819444444444444</c:v>
                </c:pt>
                <c:pt idx="181">
                  <c:v>0.69166666666666676</c:v>
                </c:pt>
                <c:pt idx="182">
                  <c:v>0.69513888888888886</c:v>
                </c:pt>
                <c:pt idx="183">
                  <c:v>0.6972222222222223</c:v>
                </c:pt>
                <c:pt idx="184">
                  <c:v>0.69930555555555562</c:v>
                </c:pt>
                <c:pt idx="185">
                  <c:v>0.7006944444444444</c:v>
                </c:pt>
                <c:pt idx="186">
                  <c:v>0.70208333333333339</c:v>
                </c:pt>
                <c:pt idx="187">
                  <c:v>0.70486111111111116</c:v>
                </c:pt>
                <c:pt idx="188">
                  <c:v>0.70833333333333337</c:v>
                </c:pt>
                <c:pt idx="189">
                  <c:v>0.70972222222222225</c:v>
                </c:pt>
                <c:pt idx="190">
                  <c:v>0.71250000000000002</c:v>
                </c:pt>
                <c:pt idx="191">
                  <c:v>0.71527777777777779</c:v>
                </c:pt>
                <c:pt idx="192">
                  <c:v>0.71805555555555556</c:v>
                </c:pt>
                <c:pt idx="193">
                  <c:v>0.71944444444444444</c:v>
                </c:pt>
                <c:pt idx="194">
                  <c:v>0.72152777777777777</c:v>
                </c:pt>
                <c:pt idx="195">
                  <c:v>0.72361111111111109</c:v>
                </c:pt>
                <c:pt idx="196">
                  <c:v>0.72569444444444453</c:v>
                </c:pt>
                <c:pt idx="197">
                  <c:v>0.7270833333333333</c:v>
                </c:pt>
                <c:pt idx="198">
                  <c:v>0.72916666666666663</c:v>
                </c:pt>
                <c:pt idx="199">
                  <c:v>0.73055555555555562</c:v>
                </c:pt>
                <c:pt idx="200">
                  <c:v>0.73333333333333339</c:v>
                </c:pt>
                <c:pt idx="201">
                  <c:v>0.73472222222222217</c:v>
                </c:pt>
                <c:pt idx="202">
                  <c:v>0.73611111111111116</c:v>
                </c:pt>
                <c:pt idx="203">
                  <c:v>0.73819444444444438</c:v>
                </c:pt>
                <c:pt idx="204">
                  <c:v>0.7402777777777777</c:v>
                </c:pt>
                <c:pt idx="205">
                  <c:v>0.74236111111111114</c:v>
                </c:pt>
                <c:pt idx="206">
                  <c:v>0.74375000000000002</c:v>
                </c:pt>
                <c:pt idx="207">
                  <c:v>0.74583333333333324</c:v>
                </c:pt>
                <c:pt idx="208">
                  <c:v>0.74861111111111101</c:v>
                </c:pt>
                <c:pt idx="209">
                  <c:v>0.75138888888888899</c:v>
                </c:pt>
                <c:pt idx="210">
                  <c:v>0.75277777777777777</c:v>
                </c:pt>
                <c:pt idx="211">
                  <c:v>0.75486111111111109</c:v>
                </c:pt>
                <c:pt idx="212">
                  <c:v>0.75624999999999998</c:v>
                </c:pt>
                <c:pt idx="213">
                  <c:v>0.75763888888888886</c:v>
                </c:pt>
                <c:pt idx="214">
                  <c:v>0.75763888888888886</c:v>
                </c:pt>
                <c:pt idx="215">
                  <c:v>0.76041666666666663</c:v>
                </c:pt>
                <c:pt idx="216">
                  <c:v>0.76180555555555562</c:v>
                </c:pt>
                <c:pt idx="217">
                  <c:v>0.76388888888888884</c:v>
                </c:pt>
                <c:pt idx="218">
                  <c:v>0.76597222222222217</c:v>
                </c:pt>
                <c:pt idx="219">
                  <c:v>0.76736111111111116</c:v>
                </c:pt>
                <c:pt idx="220">
                  <c:v>0.76874999999999993</c:v>
                </c:pt>
                <c:pt idx="221">
                  <c:v>0.77083333333333337</c:v>
                </c:pt>
                <c:pt idx="222">
                  <c:v>0.77222222222222225</c:v>
                </c:pt>
                <c:pt idx="223">
                  <c:v>0.77430555555555547</c:v>
                </c:pt>
                <c:pt idx="224">
                  <c:v>0.77569444444444446</c:v>
                </c:pt>
                <c:pt idx="225">
                  <c:v>0.77708333333333324</c:v>
                </c:pt>
                <c:pt idx="226">
                  <c:v>0.77916666666666667</c:v>
                </c:pt>
                <c:pt idx="227">
                  <c:v>0.78125</c:v>
                </c:pt>
                <c:pt idx="228">
                  <c:v>0.78263888888888899</c:v>
                </c:pt>
                <c:pt idx="229">
                  <c:v>0.78472222222222221</c:v>
                </c:pt>
                <c:pt idx="230">
                  <c:v>0.78611111111111109</c:v>
                </c:pt>
                <c:pt idx="231">
                  <c:v>0.78888888888888886</c:v>
                </c:pt>
                <c:pt idx="232">
                  <c:v>0.79166666666666663</c:v>
                </c:pt>
                <c:pt idx="233">
                  <c:v>0.79236111111111107</c:v>
                </c:pt>
                <c:pt idx="234">
                  <c:v>0.79513888888888884</c:v>
                </c:pt>
                <c:pt idx="235">
                  <c:v>0.79722222222222217</c:v>
                </c:pt>
                <c:pt idx="236">
                  <c:v>0.7993055555555556</c:v>
                </c:pt>
                <c:pt idx="237">
                  <c:v>0.80208333333333337</c:v>
                </c:pt>
                <c:pt idx="238">
                  <c:v>0.8027777777777777</c:v>
                </c:pt>
                <c:pt idx="239">
                  <c:v>0.8041666666666667</c:v>
                </c:pt>
                <c:pt idx="240">
                  <c:v>0.80625000000000002</c:v>
                </c:pt>
                <c:pt idx="241">
                  <c:v>0.80833333333333324</c:v>
                </c:pt>
                <c:pt idx="242">
                  <c:v>0.81041666666666667</c:v>
                </c:pt>
                <c:pt idx="243">
                  <c:v>0.81041666666666667</c:v>
                </c:pt>
                <c:pt idx="244">
                  <c:v>0.8125</c:v>
                </c:pt>
                <c:pt idx="245">
                  <c:v>0.81388888888888899</c:v>
                </c:pt>
                <c:pt idx="246">
                  <c:v>0.81666666666666676</c:v>
                </c:pt>
                <c:pt idx="247">
                  <c:v>0.81874999999999998</c:v>
                </c:pt>
                <c:pt idx="248">
                  <c:v>0.8208333333333333</c:v>
                </c:pt>
                <c:pt idx="249">
                  <c:v>0.82291666666666663</c:v>
                </c:pt>
                <c:pt idx="250">
                  <c:v>0.82500000000000007</c:v>
                </c:pt>
                <c:pt idx="251">
                  <c:v>0.82777777777777783</c:v>
                </c:pt>
                <c:pt idx="252">
                  <c:v>0.8305555555555556</c:v>
                </c:pt>
                <c:pt idx="253">
                  <c:v>0.83333333333333337</c:v>
                </c:pt>
                <c:pt idx="254">
                  <c:v>0.8340277777777777</c:v>
                </c:pt>
                <c:pt idx="255">
                  <c:v>0.83680555555555547</c:v>
                </c:pt>
                <c:pt idx="256">
                  <c:v>0.83888888888888891</c:v>
                </c:pt>
                <c:pt idx="257">
                  <c:v>0.84097222222222223</c:v>
                </c:pt>
                <c:pt idx="258">
                  <c:v>0.84375</c:v>
                </c:pt>
                <c:pt idx="259">
                  <c:v>0.84513888888888899</c:v>
                </c:pt>
                <c:pt idx="260">
                  <c:v>0.84722222222222221</c:v>
                </c:pt>
                <c:pt idx="261">
                  <c:v>0.84930555555555554</c:v>
                </c:pt>
                <c:pt idx="262">
                  <c:v>0.85069444444444453</c:v>
                </c:pt>
                <c:pt idx="263">
                  <c:v>0.8534722222222223</c:v>
                </c:pt>
                <c:pt idx="264">
                  <c:v>0.85555555555555562</c:v>
                </c:pt>
                <c:pt idx="265">
                  <c:v>0.85763888888888884</c:v>
                </c:pt>
                <c:pt idx="266">
                  <c:v>0.85972222222222217</c:v>
                </c:pt>
                <c:pt idx="267">
                  <c:v>0.8618055555555556</c:v>
                </c:pt>
                <c:pt idx="268">
                  <c:v>0.86388888888888893</c:v>
                </c:pt>
                <c:pt idx="269">
                  <c:v>0.86597222222222225</c:v>
                </c:pt>
                <c:pt idx="270">
                  <c:v>0.86805555555555547</c:v>
                </c:pt>
                <c:pt idx="271">
                  <c:v>0.87152777777777779</c:v>
                </c:pt>
                <c:pt idx="272">
                  <c:v>0.875</c:v>
                </c:pt>
                <c:pt idx="273">
                  <c:v>0.87569444444444444</c:v>
                </c:pt>
                <c:pt idx="274">
                  <c:v>0.87847222222222221</c:v>
                </c:pt>
                <c:pt idx="275">
                  <c:v>0.87986111111111109</c:v>
                </c:pt>
                <c:pt idx="276">
                  <c:v>0.88263888888888886</c:v>
                </c:pt>
                <c:pt idx="277">
                  <c:v>0.88541666666666663</c:v>
                </c:pt>
                <c:pt idx="278">
                  <c:v>0.88680555555555562</c:v>
                </c:pt>
                <c:pt idx="279">
                  <c:v>0.8881944444444444</c:v>
                </c:pt>
                <c:pt idx="280">
                  <c:v>0.89027777777777783</c:v>
                </c:pt>
                <c:pt idx="281">
                  <c:v>0.89236111111111116</c:v>
                </c:pt>
                <c:pt idx="282">
                  <c:v>0.89444444444444438</c:v>
                </c:pt>
                <c:pt idx="283">
                  <c:v>0.8979166666666667</c:v>
                </c:pt>
                <c:pt idx="284">
                  <c:v>0.9</c:v>
                </c:pt>
                <c:pt idx="285">
                  <c:v>0.90416666666666667</c:v>
                </c:pt>
                <c:pt idx="286">
                  <c:v>0.90625</c:v>
                </c:pt>
                <c:pt idx="287">
                  <c:v>0.90694444444444444</c:v>
                </c:pt>
                <c:pt idx="288">
                  <c:v>0.90902777777777777</c:v>
                </c:pt>
                <c:pt idx="289">
                  <c:v>0.91111111111111109</c:v>
                </c:pt>
                <c:pt idx="290">
                  <c:v>0.91388888888888886</c:v>
                </c:pt>
                <c:pt idx="291">
                  <c:v>0.91666666666666663</c:v>
                </c:pt>
                <c:pt idx="292">
                  <c:v>0.91805555555555562</c:v>
                </c:pt>
                <c:pt idx="293">
                  <c:v>0.92013888888888884</c:v>
                </c:pt>
                <c:pt idx="294">
                  <c:v>0.92222222222222217</c:v>
                </c:pt>
                <c:pt idx="295">
                  <c:v>0.9243055555555556</c:v>
                </c:pt>
                <c:pt idx="296">
                  <c:v>0.92638888888888893</c:v>
                </c:pt>
                <c:pt idx="297">
                  <c:v>0.92986111111111114</c:v>
                </c:pt>
                <c:pt idx="298">
                  <c:v>0.93125000000000002</c:v>
                </c:pt>
                <c:pt idx="299">
                  <c:v>0.93333333333333324</c:v>
                </c:pt>
                <c:pt idx="300">
                  <c:v>0.93680555555555556</c:v>
                </c:pt>
                <c:pt idx="301">
                  <c:v>0.93888888888888899</c:v>
                </c:pt>
                <c:pt idx="302">
                  <c:v>0.94374999999999998</c:v>
                </c:pt>
                <c:pt idx="303">
                  <c:v>0.94791666666666663</c:v>
                </c:pt>
                <c:pt idx="304">
                  <c:v>0.94861111111111107</c:v>
                </c:pt>
                <c:pt idx="305">
                  <c:v>0.95208333333333339</c:v>
                </c:pt>
                <c:pt idx="306">
                  <c:v>0.95416666666666661</c:v>
                </c:pt>
                <c:pt idx="307">
                  <c:v>0.95833333333333337</c:v>
                </c:pt>
                <c:pt idx="308">
                  <c:v>0.9590277777777777</c:v>
                </c:pt>
                <c:pt idx="309">
                  <c:v>0.96250000000000002</c:v>
                </c:pt>
                <c:pt idx="310">
                  <c:v>0.96388888888888891</c:v>
                </c:pt>
                <c:pt idx="311">
                  <c:v>0.96875</c:v>
                </c:pt>
                <c:pt idx="312">
                  <c:v>0.96944444444444444</c:v>
                </c:pt>
                <c:pt idx="313">
                  <c:v>0.97430555555555554</c:v>
                </c:pt>
                <c:pt idx="314">
                  <c:v>0.9770833333333333</c:v>
                </c:pt>
                <c:pt idx="315">
                  <c:v>0.98125000000000007</c:v>
                </c:pt>
                <c:pt idx="316">
                  <c:v>0.98611111111111116</c:v>
                </c:pt>
                <c:pt idx="317">
                  <c:v>0.98958333333333337</c:v>
                </c:pt>
                <c:pt idx="318">
                  <c:v>0.99722222222222223</c:v>
                </c:pt>
                <c:pt idx="319">
                  <c:v>1.0041666666666667</c:v>
                </c:pt>
                <c:pt idx="320">
                  <c:v>1.0097222222222222</c:v>
                </c:pt>
                <c:pt idx="321">
                  <c:v>1.0111111111111111</c:v>
                </c:pt>
              </c:numCache>
            </c:numRef>
          </c:xVal>
          <c:yVal>
            <c:numRef>
              <c:f>'中央線快速_八王子・大月方面(下り)_平日'!$V$4:$V$324</c:f>
              <c:numCache>
                <c:formatCode>0.0_ </c:formatCode>
                <c:ptCount val="321"/>
                <c:pt idx="0">
                  <c:v>0.66978193146417686</c:v>
                </c:pt>
                <c:pt idx="1">
                  <c:v>0.66978193146417686</c:v>
                </c:pt>
                <c:pt idx="2">
                  <c:v>0.55815160955347332</c:v>
                </c:pt>
                <c:pt idx="3">
                  <c:v>0.66978193146417686</c:v>
                </c:pt>
                <c:pt idx="4">
                  <c:v>0.55815160955348075</c:v>
                </c:pt>
                <c:pt idx="5">
                  <c:v>0.83722741433020431</c:v>
                </c:pt>
                <c:pt idx="6">
                  <c:v>0.41861370716511054</c:v>
                </c:pt>
                <c:pt idx="7">
                  <c:v>0.83722741433022108</c:v>
                </c:pt>
                <c:pt idx="8">
                  <c:v>0.55815160955348075</c:v>
                </c:pt>
                <c:pt idx="9">
                  <c:v>0.55815160955348075</c:v>
                </c:pt>
                <c:pt idx="10">
                  <c:v>1.1163032191069615</c:v>
                </c:pt>
                <c:pt idx="11">
                  <c:v>0.55815160955347332</c:v>
                </c:pt>
                <c:pt idx="12">
                  <c:v>0.66978193146417686</c:v>
                </c:pt>
                <c:pt idx="13">
                  <c:v>3.3489096573208843</c:v>
                </c:pt>
                <c:pt idx="14">
                  <c:v>1.1163032191069615</c:v>
                </c:pt>
                <c:pt idx="15">
                  <c:v>1.1163032191069318</c:v>
                </c:pt>
                <c:pt idx="16">
                  <c:v>0.83722741433022108</c:v>
                </c:pt>
                <c:pt idx="17">
                  <c:v>1.6744548286604422</c:v>
                </c:pt>
                <c:pt idx="18">
                  <c:v>1.6744548286604422</c:v>
                </c:pt>
                <c:pt idx="19">
                  <c:v>0.83722741433022108</c:v>
                </c:pt>
                <c:pt idx="20">
                  <c:v>0.66978193146417686</c:v>
                </c:pt>
                <c:pt idx="21">
                  <c:v>0.55815160955348075</c:v>
                </c:pt>
                <c:pt idx="22">
                  <c:v>3.3489096573206165</c:v>
                </c:pt>
                <c:pt idx="23">
                  <c:v>1.6744548286604422</c:v>
                </c:pt>
                <c:pt idx="24">
                  <c:v>1.6744548286604422</c:v>
                </c:pt>
                <c:pt idx="25">
                  <c:v>1.6744548286604422</c:v>
                </c:pt>
                <c:pt idx="26">
                  <c:v>1.1163032191069913</c:v>
                </c:pt>
                <c:pt idx="27">
                  <c:v>1.6744548286604422</c:v>
                </c:pt>
                <c:pt idx="28">
                  <c:v>1.1163032191069318</c:v>
                </c:pt>
                <c:pt idx="29">
                  <c:v>1.6744548286604422</c:v>
                </c:pt>
                <c:pt idx="30">
                  <c:v>1.6744548286604422</c:v>
                </c:pt>
                <c:pt idx="31">
                  <c:v>1.1163032191069318</c:v>
                </c:pt>
                <c:pt idx="32">
                  <c:v>1.6744548286604422</c:v>
                </c:pt>
                <c:pt idx="33">
                  <c:v>1.6744548286604422</c:v>
                </c:pt>
                <c:pt idx="34">
                  <c:v>1.6744548286604422</c:v>
                </c:pt>
                <c:pt idx="35">
                  <c:v>1.6744548286604422</c:v>
                </c:pt>
                <c:pt idx="36">
                  <c:v>1.6744548286604422</c:v>
                </c:pt>
                <c:pt idx="37">
                  <c:v>1.6744548286604422</c:v>
                </c:pt>
                <c:pt idx="38">
                  <c:v>1.6744548286604422</c:v>
                </c:pt>
                <c:pt idx="39">
                  <c:v>1.6744548286604422</c:v>
                </c:pt>
                <c:pt idx="40">
                  <c:v>1.6744548286604422</c:v>
                </c:pt>
                <c:pt idx="41">
                  <c:v>1.6744548286604422</c:v>
                </c:pt>
                <c:pt idx="42">
                  <c:v>1.6744548286604422</c:v>
                </c:pt>
                <c:pt idx="43">
                  <c:v>1.6744548286603753</c:v>
                </c:pt>
                <c:pt idx="44">
                  <c:v>1.6744548286604422</c:v>
                </c:pt>
                <c:pt idx="45">
                  <c:v>1.6744548286604422</c:v>
                </c:pt>
                <c:pt idx="46">
                  <c:v>1.6744548286604422</c:v>
                </c:pt>
                <c:pt idx="47">
                  <c:v>1.6744548286604422</c:v>
                </c:pt>
                <c:pt idx="48">
                  <c:v>1.6744548286604422</c:v>
                </c:pt>
                <c:pt idx="49">
                  <c:v>1.6744548286604422</c:v>
                </c:pt>
                <c:pt idx="50">
                  <c:v>1.6744548286604422</c:v>
                </c:pt>
                <c:pt idx="51">
                  <c:v>1.6744548286604422</c:v>
                </c:pt>
                <c:pt idx="52">
                  <c:v>1.6744548286604422</c:v>
                </c:pt>
                <c:pt idx="53">
                  <c:v>1.6744548286604422</c:v>
                </c:pt>
                <c:pt idx="54">
                  <c:v>1.6744548286604422</c:v>
                </c:pt>
                <c:pt idx="55">
                  <c:v>1.6744548286604422</c:v>
                </c:pt>
                <c:pt idx="56">
                  <c:v>1.6744548286604422</c:v>
                </c:pt>
                <c:pt idx="57">
                  <c:v>1.6744548286604422</c:v>
                </c:pt>
                <c:pt idx="58">
                  <c:v>1.6744548286603753</c:v>
                </c:pt>
                <c:pt idx="59">
                  <c:v>1.6744548286604422</c:v>
                </c:pt>
                <c:pt idx="60">
                  <c:v>1.6744548286604422</c:v>
                </c:pt>
                <c:pt idx="61">
                  <c:v>1.6744548286604422</c:v>
                </c:pt>
                <c:pt idx="62">
                  <c:v>1.6744548286604422</c:v>
                </c:pt>
                <c:pt idx="63">
                  <c:v>1.6744548286604422</c:v>
                </c:pt>
                <c:pt idx="64">
                  <c:v>1.6744548286604422</c:v>
                </c:pt>
                <c:pt idx="65">
                  <c:v>1.1163032191069318</c:v>
                </c:pt>
                <c:pt idx="66">
                  <c:v>0.83722741433022108</c:v>
                </c:pt>
                <c:pt idx="67">
                  <c:v>1.6744548286604422</c:v>
                </c:pt>
                <c:pt idx="68">
                  <c:v>1.6744548286604422</c:v>
                </c:pt>
                <c:pt idx="69">
                  <c:v>1.1163032191069913</c:v>
                </c:pt>
                <c:pt idx="70">
                  <c:v>0.6697819314641662</c:v>
                </c:pt>
                <c:pt idx="71">
                  <c:v>1.6744548286604422</c:v>
                </c:pt>
                <c:pt idx="72">
                  <c:v>1.6744548286604422</c:v>
                </c:pt>
                <c:pt idx="73">
                  <c:v>1.1163032191069318</c:v>
                </c:pt>
                <c:pt idx="74">
                  <c:v>0.55815160955348075</c:v>
                </c:pt>
                <c:pt idx="75">
                  <c:v>3.3489096573208843</c:v>
                </c:pt>
                <c:pt idx="76">
                  <c:v>0.83722741433022108</c:v>
                </c:pt>
                <c:pt idx="77">
                  <c:v>1.6744548286604422</c:v>
                </c:pt>
                <c:pt idx="78">
                  <c:v>1.1163032191069615</c:v>
                </c:pt>
                <c:pt idx="79">
                  <c:v>1.6744548286604422</c:v>
                </c:pt>
                <c:pt idx="80">
                  <c:v>0.83722741433020431</c:v>
                </c:pt>
                <c:pt idx="81">
                  <c:v>0.47841566533156038</c:v>
                </c:pt>
                <c:pt idx="82">
                  <c:v>1.6744548286604422</c:v>
                </c:pt>
                <c:pt idx="83">
                  <c:v>0.55815160955346588</c:v>
                </c:pt>
                <c:pt idx="84">
                  <c:v>0.55815160955348075</c:v>
                </c:pt>
                <c:pt idx="85">
                  <c:v>1.6744548286604422</c:v>
                </c:pt>
                <c:pt idx="86">
                  <c:v>0.55815160955348075</c:v>
                </c:pt>
                <c:pt idx="87">
                  <c:v>1.6744548286604422</c:v>
                </c:pt>
                <c:pt idx="88">
                  <c:v>1.6744548286604422</c:v>
                </c:pt>
                <c:pt idx="89">
                  <c:v>0.83722741433022108</c:v>
                </c:pt>
                <c:pt idx="90">
                  <c:v>0.47841566533155488</c:v>
                </c:pt>
                <c:pt idx="91">
                  <c:v>1.6744548286604422</c:v>
                </c:pt>
                <c:pt idx="92">
                  <c:v>0.6697819314641662</c:v>
                </c:pt>
                <c:pt idx="93">
                  <c:v>1.6744548286604422</c:v>
                </c:pt>
                <c:pt idx="94">
                  <c:v>1.1163032191069913</c:v>
                </c:pt>
                <c:pt idx="95">
                  <c:v>0.83722741433018766</c:v>
                </c:pt>
                <c:pt idx="96">
                  <c:v>0.66978193146418752</c:v>
                </c:pt>
                <c:pt idx="97">
                  <c:v>1.1163032191069318</c:v>
                </c:pt>
                <c:pt idx="98">
                  <c:v>0.55815160955348075</c:v>
                </c:pt>
                <c:pt idx="99">
                  <c:v>3.3489096573208843</c:v>
                </c:pt>
                <c:pt idx="100">
                  <c:v>0.55815160955348075</c:v>
                </c:pt>
                <c:pt idx="101">
                  <c:v>1.6744548286604422</c:v>
                </c:pt>
                <c:pt idx="102">
                  <c:v>0.66978193146417686</c:v>
                </c:pt>
                <c:pt idx="103">
                  <c:v>1.6744548286603753</c:v>
                </c:pt>
                <c:pt idx="104">
                  <c:v>0.55815160955348075</c:v>
                </c:pt>
                <c:pt idx="105">
                  <c:v>1.6744548286604422</c:v>
                </c:pt>
                <c:pt idx="106">
                  <c:v>0.55815160955348075</c:v>
                </c:pt>
                <c:pt idx="107">
                  <c:v>3.3489096573208843</c:v>
                </c:pt>
                <c:pt idx="108">
                  <c:v>1.6744548286604422</c:v>
                </c:pt>
                <c:pt idx="109">
                  <c:v>0.47841566533155488</c:v>
                </c:pt>
                <c:pt idx="110">
                  <c:v>1.6744548286604422</c:v>
                </c:pt>
                <c:pt idx="111">
                  <c:v>0.66978193146417686</c:v>
                </c:pt>
                <c:pt idx="112">
                  <c:v>0.66978193146415543</c:v>
                </c:pt>
                <c:pt idx="113">
                  <c:v>1.6744548286604422</c:v>
                </c:pt>
                <c:pt idx="114">
                  <c:v>0.55815160955348075</c:v>
                </c:pt>
                <c:pt idx="115">
                  <c:v>3.3489096573208843</c:v>
                </c:pt>
                <c:pt idx="116">
                  <c:v>0.55815160955348075</c:v>
                </c:pt>
                <c:pt idx="117">
                  <c:v>1.6744548286604422</c:v>
                </c:pt>
                <c:pt idx="118">
                  <c:v>0.66978193146417686</c:v>
                </c:pt>
                <c:pt idx="119">
                  <c:v>1.6744548286604422</c:v>
                </c:pt>
                <c:pt idx="120">
                  <c:v>0.55815160955348075</c:v>
                </c:pt>
                <c:pt idx="121">
                  <c:v>1.6744548286604422</c:v>
                </c:pt>
                <c:pt idx="122">
                  <c:v>0.55815160955348075</c:v>
                </c:pt>
                <c:pt idx="123">
                  <c:v>1.6744548286604422</c:v>
                </c:pt>
                <c:pt idx="124">
                  <c:v>0.66978193146415543</c:v>
                </c:pt>
                <c:pt idx="125">
                  <c:v>1.6744548286604422</c:v>
                </c:pt>
                <c:pt idx="126">
                  <c:v>1.1163032191070208</c:v>
                </c:pt>
                <c:pt idx="127">
                  <c:v>0.83722741433018766</c:v>
                </c:pt>
                <c:pt idx="128">
                  <c:v>0.55815160955348075</c:v>
                </c:pt>
                <c:pt idx="129">
                  <c:v>1.6744548286604422</c:v>
                </c:pt>
                <c:pt idx="130">
                  <c:v>0.55815160955348075</c:v>
                </c:pt>
                <c:pt idx="131">
                  <c:v>3.3489096573208843</c:v>
                </c:pt>
                <c:pt idx="132">
                  <c:v>0.55815160955348075</c:v>
                </c:pt>
                <c:pt idx="133">
                  <c:v>1.6744548286604422</c:v>
                </c:pt>
                <c:pt idx="134">
                  <c:v>0.66978193146417686</c:v>
                </c:pt>
                <c:pt idx="135">
                  <c:v>1.6744548286603083</c:v>
                </c:pt>
                <c:pt idx="136">
                  <c:v>0.55815160955348075</c:v>
                </c:pt>
                <c:pt idx="137">
                  <c:v>1.6744548286604422</c:v>
                </c:pt>
                <c:pt idx="138">
                  <c:v>0.55815160955348075</c:v>
                </c:pt>
                <c:pt idx="139">
                  <c:v>1.6744548286604422</c:v>
                </c:pt>
                <c:pt idx="140">
                  <c:v>0.66978193146417686</c:v>
                </c:pt>
                <c:pt idx="141">
                  <c:v>1.6744548286604422</c:v>
                </c:pt>
                <c:pt idx="142">
                  <c:v>1.1163032191069615</c:v>
                </c:pt>
                <c:pt idx="143">
                  <c:v>0.66978193146417686</c:v>
                </c:pt>
                <c:pt idx="144">
                  <c:v>0.66978193146417686</c:v>
                </c:pt>
                <c:pt idx="145">
                  <c:v>1.6744548286604422</c:v>
                </c:pt>
                <c:pt idx="146">
                  <c:v>0.55815160955348075</c:v>
                </c:pt>
                <c:pt idx="147">
                  <c:v>3.3489096573203492</c:v>
                </c:pt>
                <c:pt idx="148">
                  <c:v>0.55815160955348075</c:v>
                </c:pt>
                <c:pt idx="149">
                  <c:v>1.6744548286604422</c:v>
                </c:pt>
                <c:pt idx="150">
                  <c:v>0.66978193146419818</c:v>
                </c:pt>
                <c:pt idx="151">
                  <c:v>1.6744548286603083</c:v>
                </c:pt>
                <c:pt idx="152">
                  <c:v>0.55815160955348075</c:v>
                </c:pt>
                <c:pt idx="153">
                  <c:v>1.6744548286604422</c:v>
                </c:pt>
                <c:pt idx="154">
                  <c:v>0.55815160955348075</c:v>
                </c:pt>
                <c:pt idx="155">
                  <c:v>1.6744548286604422</c:v>
                </c:pt>
                <c:pt idx="156">
                  <c:v>0.66978193146417686</c:v>
                </c:pt>
                <c:pt idx="157">
                  <c:v>1.6744548286604422</c:v>
                </c:pt>
                <c:pt idx="158">
                  <c:v>1.1163032191069615</c:v>
                </c:pt>
                <c:pt idx="159">
                  <c:v>1.1163032191069615</c:v>
                </c:pt>
                <c:pt idx="160">
                  <c:v>0.55815160955348075</c:v>
                </c:pt>
                <c:pt idx="161">
                  <c:v>1.116303219106902</c:v>
                </c:pt>
                <c:pt idx="162">
                  <c:v>0.55815160955348075</c:v>
                </c:pt>
                <c:pt idx="163">
                  <c:v>3.3489096573208843</c:v>
                </c:pt>
                <c:pt idx="164">
                  <c:v>0.55815160955348075</c:v>
                </c:pt>
                <c:pt idx="165">
                  <c:v>1.6744548286604422</c:v>
                </c:pt>
                <c:pt idx="166">
                  <c:v>0.55815160955348075</c:v>
                </c:pt>
                <c:pt idx="167">
                  <c:v>1.6744548286604422</c:v>
                </c:pt>
                <c:pt idx="168">
                  <c:v>0.66978193146417686</c:v>
                </c:pt>
                <c:pt idx="169">
                  <c:v>1.1163032191069615</c:v>
                </c:pt>
                <c:pt idx="170">
                  <c:v>0.66978193146417686</c:v>
                </c:pt>
                <c:pt idx="171">
                  <c:v>1.6744548286603083</c:v>
                </c:pt>
                <c:pt idx="172">
                  <c:v>0.66978193146417686</c:v>
                </c:pt>
                <c:pt idx="173">
                  <c:v>1.674454828660576</c:v>
                </c:pt>
                <c:pt idx="174">
                  <c:v>1.1163032191069615</c:v>
                </c:pt>
                <c:pt idx="175">
                  <c:v>0.55815160955346588</c:v>
                </c:pt>
                <c:pt idx="176">
                  <c:v>1.674454828660576</c:v>
                </c:pt>
                <c:pt idx="177">
                  <c:v>0.66978193146415543</c:v>
                </c:pt>
                <c:pt idx="178">
                  <c:v>0.66978193146417686</c:v>
                </c:pt>
                <c:pt idx="179">
                  <c:v>3.3489096573208843</c:v>
                </c:pt>
                <c:pt idx="180">
                  <c:v>0.66978193146415543</c:v>
                </c:pt>
                <c:pt idx="181">
                  <c:v>0.66978193146419818</c:v>
                </c:pt>
                <c:pt idx="182">
                  <c:v>1.116303219106902</c:v>
                </c:pt>
                <c:pt idx="183">
                  <c:v>1.1163032191069615</c:v>
                </c:pt>
                <c:pt idx="184">
                  <c:v>1.674454828660576</c:v>
                </c:pt>
                <c:pt idx="185">
                  <c:v>1.6744548286603083</c:v>
                </c:pt>
                <c:pt idx="186">
                  <c:v>0.83722741433022108</c:v>
                </c:pt>
                <c:pt idx="187">
                  <c:v>0.66978193146417686</c:v>
                </c:pt>
                <c:pt idx="188">
                  <c:v>1.6744548286604422</c:v>
                </c:pt>
                <c:pt idx="189">
                  <c:v>0.83722741433022108</c:v>
                </c:pt>
                <c:pt idx="190">
                  <c:v>0.83722741433022108</c:v>
                </c:pt>
                <c:pt idx="191">
                  <c:v>0.83722741433022108</c:v>
                </c:pt>
                <c:pt idx="192">
                  <c:v>1.6744548286604422</c:v>
                </c:pt>
                <c:pt idx="193">
                  <c:v>1.1163032191069615</c:v>
                </c:pt>
                <c:pt idx="194">
                  <c:v>1.1163032191069615</c:v>
                </c:pt>
                <c:pt idx="195">
                  <c:v>1.116303219106902</c:v>
                </c:pt>
                <c:pt idx="196">
                  <c:v>1.674454828660576</c:v>
                </c:pt>
                <c:pt idx="197">
                  <c:v>1.1163032191069615</c:v>
                </c:pt>
                <c:pt idx="198">
                  <c:v>1.6744548286603083</c:v>
                </c:pt>
                <c:pt idx="199">
                  <c:v>0.83722741433022108</c:v>
                </c:pt>
                <c:pt idx="200">
                  <c:v>1.674454828660576</c:v>
                </c:pt>
                <c:pt idx="201">
                  <c:v>1.6744548286603083</c:v>
                </c:pt>
                <c:pt idx="202">
                  <c:v>1.1163032191070208</c:v>
                </c:pt>
                <c:pt idx="203">
                  <c:v>1.1163032191069615</c:v>
                </c:pt>
                <c:pt idx="204">
                  <c:v>1.116303219106902</c:v>
                </c:pt>
                <c:pt idx="205">
                  <c:v>1.6744548286604422</c:v>
                </c:pt>
                <c:pt idx="206">
                  <c:v>1.1163032191070208</c:v>
                </c:pt>
                <c:pt idx="207">
                  <c:v>0.83722741433022108</c:v>
                </c:pt>
                <c:pt idx="208">
                  <c:v>0.83722741433015413</c:v>
                </c:pt>
                <c:pt idx="209">
                  <c:v>1.674454828660576</c:v>
                </c:pt>
                <c:pt idx="210">
                  <c:v>1.1163032191069615</c:v>
                </c:pt>
                <c:pt idx="211">
                  <c:v>1.6744548286604422</c:v>
                </c:pt>
                <c:pt idx="212">
                  <c:v>1.6744548286604422</c:v>
                </c:pt>
                <c:pt idx="213">
                  <c:v>0</c:v>
                </c:pt>
                <c:pt idx="214">
                  <c:v>0.83722741433022108</c:v>
                </c:pt>
                <c:pt idx="215">
                  <c:v>1.6744548286603083</c:v>
                </c:pt>
                <c:pt idx="216">
                  <c:v>1.1163032191070208</c:v>
                </c:pt>
                <c:pt idx="217">
                  <c:v>1.1163032191069615</c:v>
                </c:pt>
                <c:pt idx="218">
                  <c:v>1.6744548286603083</c:v>
                </c:pt>
                <c:pt idx="219">
                  <c:v>1.674454828660576</c:v>
                </c:pt>
                <c:pt idx="220">
                  <c:v>1.116303219106902</c:v>
                </c:pt>
                <c:pt idx="221">
                  <c:v>1.6744548286604422</c:v>
                </c:pt>
                <c:pt idx="222">
                  <c:v>1.1163032191070208</c:v>
                </c:pt>
                <c:pt idx="223">
                  <c:v>1.6744548286603083</c:v>
                </c:pt>
                <c:pt idx="224">
                  <c:v>1.674454828660576</c:v>
                </c:pt>
                <c:pt idx="225">
                  <c:v>1.116303219106902</c:v>
                </c:pt>
                <c:pt idx="226">
                  <c:v>1.1163032191069615</c:v>
                </c:pt>
                <c:pt idx="227">
                  <c:v>1.6744548286603083</c:v>
                </c:pt>
                <c:pt idx="228">
                  <c:v>1.1163032191070208</c:v>
                </c:pt>
                <c:pt idx="229">
                  <c:v>1.6744548286604422</c:v>
                </c:pt>
                <c:pt idx="230">
                  <c:v>0.83722741433022108</c:v>
                </c:pt>
                <c:pt idx="231">
                  <c:v>0.83722741433022108</c:v>
                </c:pt>
                <c:pt idx="232">
                  <c:v>3.3489096573208843</c:v>
                </c:pt>
                <c:pt idx="233">
                  <c:v>0.83722741433022108</c:v>
                </c:pt>
                <c:pt idx="234">
                  <c:v>1.1163032191069615</c:v>
                </c:pt>
                <c:pt idx="235">
                  <c:v>1.116303219106902</c:v>
                </c:pt>
                <c:pt idx="236">
                  <c:v>0.83722741433022108</c:v>
                </c:pt>
                <c:pt idx="237">
                  <c:v>3.3489096573214199</c:v>
                </c:pt>
                <c:pt idx="238">
                  <c:v>1.6744548286603083</c:v>
                </c:pt>
                <c:pt idx="239">
                  <c:v>1.1163032191069615</c:v>
                </c:pt>
                <c:pt idx="240">
                  <c:v>1.1163032191070208</c:v>
                </c:pt>
                <c:pt idx="241">
                  <c:v>1.116303219106902</c:v>
                </c:pt>
                <c:pt idx="242">
                  <c:v>0</c:v>
                </c:pt>
                <c:pt idx="243">
                  <c:v>1.1163032191069615</c:v>
                </c:pt>
                <c:pt idx="244">
                  <c:v>1.6744548286603083</c:v>
                </c:pt>
                <c:pt idx="245">
                  <c:v>0.83722741433022108</c:v>
                </c:pt>
                <c:pt idx="246">
                  <c:v>1.1163032191070208</c:v>
                </c:pt>
                <c:pt idx="247">
                  <c:v>1.1163032191069615</c:v>
                </c:pt>
                <c:pt idx="248">
                  <c:v>1.1163032191069615</c:v>
                </c:pt>
                <c:pt idx="249">
                  <c:v>1.116303219106902</c:v>
                </c:pt>
                <c:pt idx="250">
                  <c:v>0.83722741433022108</c:v>
                </c:pt>
                <c:pt idx="251">
                  <c:v>0.83722741433022108</c:v>
                </c:pt>
                <c:pt idx="252">
                  <c:v>0.83722741433022108</c:v>
                </c:pt>
                <c:pt idx="253">
                  <c:v>3.3489096573214199</c:v>
                </c:pt>
                <c:pt idx="254">
                  <c:v>0.83722741433022108</c:v>
                </c:pt>
                <c:pt idx="255">
                  <c:v>1.116303219106902</c:v>
                </c:pt>
                <c:pt idx="256">
                  <c:v>1.1163032191069615</c:v>
                </c:pt>
                <c:pt idx="257">
                  <c:v>0.83722741433022108</c:v>
                </c:pt>
                <c:pt idx="258">
                  <c:v>1.6744548286603083</c:v>
                </c:pt>
                <c:pt idx="259">
                  <c:v>1.1163032191070208</c:v>
                </c:pt>
                <c:pt idx="260">
                  <c:v>1.1163032191069615</c:v>
                </c:pt>
                <c:pt idx="261">
                  <c:v>1.6744548286603083</c:v>
                </c:pt>
                <c:pt idx="262">
                  <c:v>0.83722741433022108</c:v>
                </c:pt>
                <c:pt idx="263">
                  <c:v>1.1163032191069615</c:v>
                </c:pt>
                <c:pt idx="264">
                  <c:v>1.1163032191070208</c:v>
                </c:pt>
                <c:pt idx="265">
                  <c:v>1.1163032191069615</c:v>
                </c:pt>
                <c:pt idx="266">
                  <c:v>1.116303219106902</c:v>
                </c:pt>
                <c:pt idx="267">
                  <c:v>1.1163032191069615</c:v>
                </c:pt>
                <c:pt idx="268">
                  <c:v>1.1163032191069615</c:v>
                </c:pt>
                <c:pt idx="269">
                  <c:v>1.1163032191070208</c:v>
                </c:pt>
                <c:pt idx="270">
                  <c:v>0.66978193146415543</c:v>
                </c:pt>
                <c:pt idx="271">
                  <c:v>0.66978193146417686</c:v>
                </c:pt>
                <c:pt idx="272">
                  <c:v>3.3489096573208843</c:v>
                </c:pt>
                <c:pt idx="273">
                  <c:v>0.83722741433022108</c:v>
                </c:pt>
                <c:pt idx="274">
                  <c:v>1.6744548286604422</c:v>
                </c:pt>
                <c:pt idx="275">
                  <c:v>0.83722741433022108</c:v>
                </c:pt>
                <c:pt idx="276">
                  <c:v>0.83722741433022108</c:v>
                </c:pt>
                <c:pt idx="277">
                  <c:v>1.6744548286603083</c:v>
                </c:pt>
                <c:pt idx="278">
                  <c:v>1.674454828660576</c:v>
                </c:pt>
                <c:pt idx="279">
                  <c:v>1.116303219106902</c:v>
                </c:pt>
                <c:pt idx="280">
                  <c:v>1.1163032191069615</c:v>
                </c:pt>
                <c:pt idx="281">
                  <c:v>1.1163032191070208</c:v>
                </c:pt>
                <c:pt idx="282">
                  <c:v>0.66978193146415543</c:v>
                </c:pt>
                <c:pt idx="283">
                  <c:v>1.1163032191069615</c:v>
                </c:pt>
                <c:pt idx="284">
                  <c:v>0.55815160955348075</c:v>
                </c:pt>
                <c:pt idx="285">
                  <c:v>1.1163032191069615</c:v>
                </c:pt>
                <c:pt idx="286">
                  <c:v>3.3489096573208843</c:v>
                </c:pt>
                <c:pt idx="287">
                  <c:v>1.1163032191069615</c:v>
                </c:pt>
                <c:pt idx="288">
                  <c:v>1.1163032191069615</c:v>
                </c:pt>
                <c:pt idx="289">
                  <c:v>0.83722741433022108</c:v>
                </c:pt>
                <c:pt idx="290">
                  <c:v>0.83722741433022108</c:v>
                </c:pt>
                <c:pt idx="291">
                  <c:v>1.6744548286603083</c:v>
                </c:pt>
                <c:pt idx="292">
                  <c:v>1.1163032191070208</c:v>
                </c:pt>
                <c:pt idx="293">
                  <c:v>1.1163032191069615</c:v>
                </c:pt>
                <c:pt idx="294">
                  <c:v>1.116303219106902</c:v>
                </c:pt>
                <c:pt idx="295">
                  <c:v>1.1163032191069615</c:v>
                </c:pt>
                <c:pt idx="296">
                  <c:v>0.66978193146417686</c:v>
                </c:pt>
                <c:pt idx="297">
                  <c:v>1.6744548286604422</c:v>
                </c:pt>
                <c:pt idx="298">
                  <c:v>1.1163032191070208</c:v>
                </c:pt>
                <c:pt idx="299">
                  <c:v>0.66978193146415543</c:v>
                </c:pt>
                <c:pt idx="300">
                  <c:v>1.116303219106902</c:v>
                </c:pt>
                <c:pt idx="301">
                  <c:v>0.47841566533156576</c:v>
                </c:pt>
                <c:pt idx="302">
                  <c:v>0.55815160955348075</c:v>
                </c:pt>
                <c:pt idx="303">
                  <c:v>3.3489096573208843</c:v>
                </c:pt>
                <c:pt idx="304">
                  <c:v>0.66978193146415543</c:v>
                </c:pt>
                <c:pt idx="305">
                  <c:v>1.1163032191070208</c:v>
                </c:pt>
                <c:pt idx="306">
                  <c:v>0.55815160955346588</c:v>
                </c:pt>
                <c:pt idx="307">
                  <c:v>3.3489096573214199</c:v>
                </c:pt>
                <c:pt idx="308">
                  <c:v>0.66978193146415543</c:v>
                </c:pt>
                <c:pt idx="309">
                  <c:v>1.6744548286604422</c:v>
                </c:pt>
                <c:pt idx="310">
                  <c:v>0.47841566533155488</c:v>
                </c:pt>
                <c:pt idx="311">
                  <c:v>3.3489096573208843</c:v>
                </c:pt>
                <c:pt idx="312">
                  <c:v>0.47841566533155488</c:v>
                </c:pt>
                <c:pt idx="313">
                  <c:v>0.83722741433022108</c:v>
                </c:pt>
                <c:pt idx="314">
                  <c:v>0.55815160955346588</c:v>
                </c:pt>
                <c:pt idx="315">
                  <c:v>0.47841566533155488</c:v>
                </c:pt>
                <c:pt idx="316">
                  <c:v>0.66978193146417686</c:v>
                </c:pt>
                <c:pt idx="317">
                  <c:v>0.30444633248371672</c:v>
                </c:pt>
                <c:pt idx="318">
                  <c:v>0.33489096573208843</c:v>
                </c:pt>
                <c:pt idx="319">
                  <c:v>0.41861370716511054</c:v>
                </c:pt>
                <c:pt idx="320">
                  <c:v>1.6744548286604422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4-4BA4-AC36-05FD1657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16344"/>
        <c:axId val="367312816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7317912"/>
        <c:axId val="3673186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19050" cap="rnd">
                    <a:solidFill>
                      <a:schemeClr val="accent2">
                        <a:alpha val="34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'中央線快速_八王子・大月方面(下り)_平日'!$D$4:$D$324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0.26805555555555555</c:v>
                      </c:pt>
                      <c:pt idx="1">
                        <c:v>0.27152777777777776</c:v>
                      </c:pt>
                      <c:pt idx="2">
                        <c:v>0.27569444444444446</c:v>
                      </c:pt>
                      <c:pt idx="3">
                        <c:v>0.27916666666666667</c:v>
                      </c:pt>
                      <c:pt idx="4">
                        <c:v>0.28333333333333333</c:v>
                      </c:pt>
                      <c:pt idx="5">
                        <c:v>0.28611111111111115</c:v>
                      </c:pt>
                      <c:pt idx="6">
                        <c:v>0.29166666666666669</c:v>
                      </c:pt>
                      <c:pt idx="7">
                        <c:v>0.29444444444444445</c:v>
                      </c:pt>
                      <c:pt idx="8">
                        <c:v>0.2986111111111111</c:v>
                      </c:pt>
                      <c:pt idx="9">
                        <c:v>0.30277777777777776</c:v>
                      </c:pt>
                      <c:pt idx="10">
                        <c:v>0.30486111111111108</c:v>
                      </c:pt>
                      <c:pt idx="11">
                        <c:v>0.30902777777777779</c:v>
                      </c:pt>
                      <c:pt idx="12">
                        <c:v>0.3125</c:v>
                      </c:pt>
                      <c:pt idx="13">
                        <c:v>0.31319444444444444</c:v>
                      </c:pt>
                      <c:pt idx="14">
                        <c:v>0.31527777777777777</c:v>
                      </c:pt>
                      <c:pt idx="15">
                        <c:v>0.31736111111111115</c:v>
                      </c:pt>
                      <c:pt idx="16">
                        <c:v>0.32013888888888892</c:v>
                      </c:pt>
                      <c:pt idx="17">
                        <c:v>0.3215277777777778</c:v>
                      </c:pt>
                      <c:pt idx="18">
                        <c:v>0.32291666666666669</c:v>
                      </c:pt>
                      <c:pt idx="19">
                        <c:v>0.32569444444444445</c:v>
                      </c:pt>
                      <c:pt idx="20">
                        <c:v>0.32916666666666666</c:v>
                      </c:pt>
                      <c:pt idx="21">
                        <c:v>0.33333333333333331</c:v>
                      </c:pt>
                      <c:pt idx="22">
                        <c:v>0.33402777777777781</c:v>
                      </c:pt>
                      <c:pt idx="23">
                        <c:v>0.3354166666666667</c:v>
                      </c:pt>
                      <c:pt idx="24">
                        <c:v>0.33680555555555558</c:v>
                      </c:pt>
                      <c:pt idx="25">
                        <c:v>0.33819444444444446</c:v>
                      </c:pt>
                      <c:pt idx="26">
                        <c:v>0.34027777777777773</c:v>
                      </c:pt>
                      <c:pt idx="27">
                        <c:v>0.34166666666666662</c:v>
                      </c:pt>
                      <c:pt idx="28">
                        <c:v>0.34375</c:v>
                      </c:pt>
                      <c:pt idx="29">
                        <c:v>0.34513888888888888</c:v>
                      </c:pt>
                      <c:pt idx="30">
                        <c:v>0.34652777777777777</c:v>
                      </c:pt>
                      <c:pt idx="31">
                        <c:v>0.34861111111111115</c:v>
                      </c:pt>
                      <c:pt idx="32">
                        <c:v>0.35000000000000003</c:v>
                      </c:pt>
                      <c:pt idx="33">
                        <c:v>0.35138888888888892</c:v>
                      </c:pt>
                      <c:pt idx="34">
                        <c:v>0.3527777777777778</c:v>
                      </c:pt>
                      <c:pt idx="35">
                        <c:v>0.35416666666666669</c:v>
                      </c:pt>
                      <c:pt idx="36">
                        <c:v>0.35555555555555557</c:v>
                      </c:pt>
                      <c:pt idx="37">
                        <c:v>0.35694444444444445</c:v>
                      </c:pt>
                      <c:pt idx="38">
                        <c:v>0.35833333333333334</c:v>
                      </c:pt>
                      <c:pt idx="39">
                        <c:v>0.35972222222222222</c:v>
                      </c:pt>
                      <c:pt idx="40">
                        <c:v>0.3611111111111111</c:v>
                      </c:pt>
                      <c:pt idx="41">
                        <c:v>0.36249999999999999</c:v>
                      </c:pt>
                      <c:pt idx="42">
                        <c:v>0.36388888888888887</c:v>
                      </c:pt>
                      <c:pt idx="43">
                        <c:v>0.36527777777777781</c:v>
                      </c:pt>
                      <c:pt idx="44">
                        <c:v>0.3666666666666667</c:v>
                      </c:pt>
                      <c:pt idx="45">
                        <c:v>0.36805555555555558</c:v>
                      </c:pt>
                      <c:pt idx="46">
                        <c:v>0.36944444444444446</c:v>
                      </c:pt>
                      <c:pt idx="47">
                        <c:v>0.37083333333333335</c:v>
                      </c:pt>
                      <c:pt idx="48">
                        <c:v>0.37222222222222223</c:v>
                      </c:pt>
                      <c:pt idx="49">
                        <c:v>0.37361111111111112</c:v>
                      </c:pt>
                      <c:pt idx="50">
                        <c:v>0.375</c:v>
                      </c:pt>
                      <c:pt idx="51">
                        <c:v>0.37638888888888888</c:v>
                      </c:pt>
                      <c:pt idx="52">
                        <c:v>0.37777777777777777</c:v>
                      </c:pt>
                      <c:pt idx="53">
                        <c:v>0.37916666666666665</c:v>
                      </c:pt>
                      <c:pt idx="54">
                        <c:v>0.38055555555555554</c:v>
                      </c:pt>
                      <c:pt idx="55">
                        <c:v>0.38194444444444442</c:v>
                      </c:pt>
                      <c:pt idx="56">
                        <c:v>0.3833333333333333</c:v>
                      </c:pt>
                      <c:pt idx="57">
                        <c:v>0.38472222222222219</c:v>
                      </c:pt>
                      <c:pt idx="58">
                        <c:v>0.38611111111111113</c:v>
                      </c:pt>
                      <c:pt idx="59">
                        <c:v>0.38750000000000001</c:v>
                      </c:pt>
                      <c:pt idx="60">
                        <c:v>0.3888888888888889</c:v>
                      </c:pt>
                      <c:pt idx="61">
                        <c:v>0.39027777777777778</c:v>
                      </c:pt>
                      <c:pt idx="62">
                        <c:v>0.39166666666666666</c:v>
                      </c:pt>
                      <c:pt idx="63">
                        <c:v>0.39305555555555555</c:v>
                      </c:pt>
                      <c:pt idx="64">
                        <c:v>0.39444444444444443</c:v>
                      </c:pt>
                      <c:pt idx="65">
                        <c:v>0.39652777777777781</c:v>
                      </c:pt>
                      <c:pt idx="66">
                        <c:v>0.39930555555555558</c:v>
                      </c:pt>
                      <c:pt idx="67">
                        <c:v>0.40069444444444446</c:v>
                      </c:pt>
                      <c:pt idx="68">
                        <c:v>0.40208333333333335</c:v>
                      </c:pt>
                      <c:pt idx="69">
                        <c:v>0.40416666666666662</c:v>
                      </c:pt>
                      <c:pt idx="70">
                        <c:v>0.40763888888888888</c:v>
                      </c:pt>
                      <c:pt idx="71">
                        <c:v>0.40902777777777777</c:v>
                      </c:pt>
                      <c:pt idx="72">
                        <c:v>0.41041666666666665</c:v>
                      </c:pt>
                      <c:pt idx="73">
                        <c:v>0.41250000000000003</c:v>
                      </c:pt>
                      <c:pt idx="74">
                        <c:v>0.41666666666666669</c:v>
                      </c:pt>
                      <c:pt idx="75">
                        <c:v>0.41736111111111113</c:v>
                      </c:pt>
                      <c:pt idx="76">
                        <c:v>0.4201388888888889</c:v>
                      </c:pt>
                      <c:pt idx="77">
                        <c:v>0.42152777777777778</c:v>
                      </c:pt>
                      <c:pt idx="78">
                        <c:v>0.4236111111111111</c:v>
                      </c:pt>
                      <c:pt idx="79">
                        <c:v>0.42499999999999999</c:v>
                      </c:pt>
                      <c:pt idx="80">
                        <c:v>0.42777777777777781</c:v>
                      </c:pt>
                      <c:pt idx="81">
                        <c:v>0.43263888888888885</c:v>
                      </c:pt>
                      <c:pt idx="82">
                        <c:v>0.43402777777777773</c:v>
                      </c:pt>
                      <c:pt idx="83">
                        <c:v>0.4381944444444445</c:v>
                      </c:pt>
                      <c:pt idx="84">
                        <c:v>0.44236111111111115</c:v>
                      </c:pt>
                      <c:pt idx="85">
                        <c:v>0.44375000000000003</c:v>
                      </c:pt>
                      <c:pt idx="86">
                        <c:v>0.44791666666666669</c:v>
                      </c:pt>
                      <c:pt idx="87">
                        <c:v>0.44930555555555557</c:v>
                      </c:pt>
                      <c:pt idx="88">
                        <c:v>0.45069444444444445</c:v>
                      </c:pt>
                      <c:pt idx="89">
                        <c:v>0.45347222222222222</c:v>
                      </c:pt>
                      <c:pt idx="90">
                        <c:v>0.45833333333333331</c:v>
                      </c:pt>
                      <c:pt idx="91">
                        <c:v>0.4597222222222222</c:v>
                      </c:pt>
                      <c:pt idx="92">
                        <c:v>0.46319444444444446</c:v>
                      </c:pt>
                      <c:pt idx="93">
                        <c:v>0.46458333333333335</c:v>
                      </c:pt>
                      <c:pt idx="94">
                        <c:v>0.46666666666666662</c:v>
                      </c:pt>
                      <c:pt idx="95">
                        <c:v>0.4694444444444445</c:v>
                      </c:pt>
                      <c:pt idx="96">
                        <c:v>0.47291666666666665</c:v>
                      </c:pt>
                      <c:pt idx="97">
                        <c:v>0.47500000000000003</c:v>
                      </c:pt>
                      <c:pt idx="98">
                        <c:v>0.47916666666666669</c:v>
                      </c:pt>
                      <c:pt idx="99">
                        <c:v>0.47986111111111113</c:v>
                      </c:pt>
                      <c:pt idx="100">
                        <c:v>0.48402777777777778</c:v>
                      </c:pt>
                      <c:pt idx="101">
                        <c:v>0.48541666666666666</c:v>
                      </c:pt>
                      <c:pt idx="102">
                        <c:v>0.48888888888888887</c:v>
                      </c:pt>
                      <c:pt idx="103">
                        <c:v>0.49027777777777781</c:v>
                      </c:pt>
                      <c:pt idx="104">
                        <c:v>0.49444444444444446</c:v>
                      </c:pt>
                      <c:pt idx="105">
                        <c:v>0.49583333333333335</c:v>
                      </c:pt>
                      <c:pt idx="106">
                        <c:v>0.5</c:v>
                      </c:pt>
                      <c:pt idx="107">
                        <c:v>0.50069444444444444</c:v>
                      </c:pt>
                      <c:pt idx="108">
                        <c:v>0.50208333333333333</c:v>
                      </c:pt>
                      <c:pt idx="109">
                        <c:v>0.50694444444444442</c:v>
                      </c:pt>
                      <c:pt idx="110">
                        <c:v>0.5083333333333333</c:v>
                      </c:pt>
                      <c:pt idx="111">
                        <c:v>0.51180555555555551</c:v>
                      </c:pt>
                      <c:pt idx="112">
                        <c:v>0.51527777777777783</c:v>
                      </c:pt>
                      <c:pt idx="113">
                        <c:v>0.51666666666666672</c:v>
                      </c:pt>
                      <c:pt idx="114">
                        <c:v>0.52083333333333337</c:v>
                      </c:pt>
                      <c:pt idx="115">
                        <c:v>0.52152777777777781</c:v>
                      </c:pt>
                      <c:pt idx="116">
                        <c:v>0.52569444444444446</c:v>
                      </c:pt>
                      <c:pt idx="117">
                        <c:v>0.52708333333333335</c:v>
                      </c:pt>
                      <c:pt idx="118">
                        <c:v>0.53055555555555556</c:v>
                      </c:pt>
                      <c:pt idx="119">
                        <c:v>0.53194444444444444</c:v>
                      </c:pt>
                      <c:pt idx="120">
                        <c:v>0.53611111111111109</c:v>
                      </c:pt>
                      <c:pt idx="121">
                        <c:v>0.53749999999999998</c:v>
                      </c:pt>
                      <c:pt idx="122">
                        <c:v>0.54166666666666663</c:v>
                      </c:pt>
                      <c:pt idx="123">
                        <c:v>0.54305555555555551</c:v>
                      </c:pt>
                      <c:pt idx="124">
                        <c:v>0.54652777777777783</c:v>
                      </c:pt>
                      <c:pt idx="125">
                        <c:v>0.54791666666666672</c:v>
                      </c:pt>
                      <c:pt idx="126">
                        <c:v>0.54999999999999993</c:v>
                      </c:pt>
                      <c:pt idx="127">
                        <c:v>0.55277777777777781</c:v>
                      </c:pt>
                      <c:pt idx="128">
                        <c:v>0.55694444444444446</c:v>
                      </c:pt>
                      <c:pt idx="129">
                        <c:v>0.55833333333333335</c:v>
                      </c:pt>
                      <c:pt idx="130">
                        <c:v>0.5625</c:v>
                      </c:pt>
                      <c:pt idx="131">
                        <c:v>0.56319444444444444</c:v>
                      </c:pt>
                      <c:pt idx="132">
                        <c:v>0.56736111111111109</c:v>
                      </c:pt>
                      <c:pt idx="133">
                        <c:v>0.56874999999999998</c:v>
                      </c:pt>
                      <c:pt idx="134">
                        <c:v>0.57222222222222219</c:v>
                      </c:pt>
                      <c:pt idx="135">
                        <c:v>0.57361111111111118</c:v>
                      </c:pt>
                      <c:pt idx="136">
                        <c:v>0.57777777777777783</c:v>
                      </c:pt>
                      <c:pt idx="137">
                        <c:v>0.57916666666666672</c:v>
                      </c:pt>
                      <c:pt idx="138">
                        <c:v>0.58333333333333337</c:v>
                      </c:pt>
                      <c:pt idx="139">
                        <c:v>0.58472222222222225</c:v>
                      </c:pt>
                      <c:pt idx="140">
                        <c:v>0.58819444444444446</c:v>
                      </c:pt>
                      <c:pt idx="141">
                        <c:v>0.58958333333333335</c:v>
                      </c:pt>
                      <c:pt idx="142">
                        <c:v>0.59166666666666667</c:v>
                      </c:pt>
                      <c:pt idx="143">
                        <c:v>0.59513888888888888</c:v>
                      </c:pt>
                      <c:pt idx="144">
                        <c:v>0.59861111111111109</c:v>
                      </c:pt>
                      <c:pt idx="145">
                        <c:v>0.6</c:v>
                      </c:pt>
                      <c:pt idx="146">
                        <c:v>0.60416666666666663</c:v>
                      </c:pt>
                      <c:pt idx="147">
                        <c:v>0.60486111111111118</c:v>
                      </c:pt>
                      <c:pt idx="148">
                        <c:v>0.60902777777777783</c:v>
                      </c:pt>
                      <c:pt idx="149">
                        <c:v>0.61041666666666672</c:v>
                      </c:pt>
                      <c:pt idx="150">
                        <c:v>0.61388888888888882</c:v>
                      </c:pt>
                      <c:pt idx="151">
                        <c:v>0.61527777777777781</c:v>
                      </c:pt>
                      <c:pt idx="152">
                        <c:v>0.61944444444444446</c:v>
                      </c:pt>
                      <c:pt idx="153">
                        <c:v>0.62083333333333335</c:v>
                      </c:pt>
                      <c:pt idx="154">
                        <c:v>0.625</c:v>
                      </c:pt>
                      <c:pt idx="155">
                        <c:v>0.62638888888888888</c:v>
                      </c:pt>
                      <c:pt idx="156">
                        <c:v>0.62986111111111109</c:v>
                      </c:pt>
                      <c:pt idx="157">
                        <c:v>0.63124999999999998</c:v>
                      </c:pt>
                      <c:pt idx="158">
                        <c:v>0.6333333333333333</c:v>
                      </c:pt>
                      <c:pt idx="159">
                        <c:v>0.63541666666666663</c:v>
                      </c:pt>
                      <c:pt idx="160">
                        <c:v>0.63958333333333328</c:v>
                      </c:pt>
                      <c:pt idx="161">
                        <c:v>0.64166666666666672</c:v>
                      </c:pt>
                      <c:pt idx="162">
                        <c:v>0.64583333333333337</c:v>
                      </c:pt>
                      <c:pt idx="163">
                        <c:v>0.64652777777777781</c:v>
                      </c:pt>
                      <c:pt idx="164">
                        <c:v>0.65069444444444446</c:v>
                      </c:pt>
                      <c:pt idx="165">
                        <c:v>0.65208333333333335</c:v>
                      </c:pt>
                      <c:pt idx="166">
                        <c:v>0.65625</c:v>
                      </c:pt>
                      <c:pt idx="167">
                        <c:v>0.65763888888888888</c:v>
                      </c:pt>
                      <c:pt idx="168">
                        <c:v>0.66111111111111109</c:v>
                      </c:pt>
                      <c:pt idx="169">
                        <c:v>0.66319444444444442</c:v>
                      </c:pt>
                      <c:pt idx="170">
                        <c:v>0.66666666666666663</c:v>
                      </c:pt>
                      <c:pt idx="171">
                        <c:v>0.66805555555555562</c:v>
                      </c:pt>
                      <c:pt idx="172">
                        <c:v>0.67152777777777783</c:v>
                      </c:pt>
                      <c:pt idx="173">
                        <c:v>0.67291666666666661</c:v>
                      </c:pt>
                      <c:pt idx="174">
                        <c:v>0.67499999999999993</c:v>
                      </c:pt>
                      <c:pt idx="175">
                        <c:v>0.6791666666666667</c:v>
                      </c:pt>
                      <c:pt idx="176">
                        <c:v>0.68055555555555547</c:v>
                      </c:pt>
                      <c:pt idx="177">
                        <c:v>0.68402777777777779</c:v>
                      </c:pt>
                      <c:pt idx="178">
                        <c:v>0.6875</c:v>
                      </c:pt>
                      <c:pt idx="179">
                        <c:v>0.68819444444444444</c:v>
                      </c:pt>
                      <c:pt idx="180">
                        <c:v>0.69166666666666676</c:v>
                      </c:pt>
                      <c:pt idx="181">
                        <c:v>0.69513888888888886</c:v>
                      </c:pt>
                      <c:pt idx="182">
                        <c:v>0.6972222222222223</c:v>
                      </c:pt>
                      <c:pt idx="183">
                        <c:v>0.69930555555555562</c:v>
                      </c:pt>
                      <c:pt idx="184">
                        <c:v>0.7006944444444444</c:v>
                      </c:pt>
                      <c:pt idx="185">
                        <c:v>0.70208333333333339</c:v>
                      </c:pt>
                      <c:pt idx="186">
                        <c:v>0.70486111111111116</c:v>
                      </c:pt>
                      <c:pt idx="187">
                        <c:v>0.70833333333333337</c:v>
                      </c:pt>
                      <c:pt idx="188">
                        <c:v>0.70972222222222225</c:v>
                      </c:pt>
                      <c:pt idx="189">
                        <c:v>0.71250000000000002</c:v>
                      </c:pt>
                      <c:pt idx="190">
                        <c:v>0.71527777777777779</c:v>
                      </c:pt>
                      <c:pt idx="191">
                        <c:v>0.71805555555555556</c:v>
                      </c:pt>
                      <c:pt idx="192">
                        <c:v>0.71944444444444444</c:v>
                      </c:pt>
                      <c:pt idx="193">
                        <c:v>0.72152777777777777</c:v>
                      </c:pt>
                      <c:pt idx="194">
                        <c:v>0.72361111111111109</c:v>
                      </c:pt>
                      <c:pt idx="195">
                        <c:v>0.72569444444444453</c:v>
                      </c:pt>
                      <c:pt idx="196">
                        <c:v>0.7270833333333333</c:v>
                      </c:pt>
                      <c:pt idx="197">
                        <c:v>0.72916666666666663</c:v>
                      </c:pt>
                      <c:pt idx="198">
                        <c:v>0.73055555555555562</c:v>
                      </c:pt>
                      <c:pt idx="199">
                        <c:v>0.73333333333333339</c:v>
                      </c:pt>
                      <c:pt idx="200">
                        <c:v>0.73472222222222217</c:v>
                      </c:pt>
                      <c:pt idx="201">
                        <c:v>0.73611111111111116</c:v>
                      </c:pt>
                      <c:pt idx="202">
                        <c:v>0.73819444444444438</c:v>
                      </c:pt>
                      <c:pt idx="203">
                        <c:v>0.7402777777777777</c:v>
                      </c:pt>
                      <c:pt idx="204">
                        <c:v>0.74236111111111114</c:v>
                      </c:pt>
                      <c:pt idx="205">
                        <c:v>0.74375000000000002</c:v>
                      </c:pt>
                      <c:pt idx="206">
                        <c:v>0.74583333333333324</c:v>
                      </c:pt>
                      <c:pt idx="207">
                        <c:v>0.74861111111111101</c:v>
                      </c:pt>
                      <c:pt idx="208">
                        <c:v>0.75138888888888899</c:v>
                      </c:pt>
                      <c:pt idx="209">
                        <c:v>0.75277777777777777</c:v>
                      </c:pt>
                      <c:pt idx="210">
                        <c:v>0.75486111111111109</c:v>
                      </c:pt>
                      <c:pt idx="211">
                        <c:v>0.75624999999999998</c:v>
                      </c:pt>
                      <c:pt idx="212">
                        <c:v>0.75763888888888886</c:v>
                      </c:pt>
                      <c:pt idx="213">
                        <c:v>0.75763888888888886</c:v>
                      </c:pt>
                      <c:pt idx="214">
                        <c:v>0.76041666666666663</c:v>
                      </c:pt>
                      <c:pt idx="215">
                        <c:v>0.76180555555555562</c:v>
                      </c:pt>
                      <c:pt idx="216">
                        <c:v>0.76388888888888884</c:v>
                      </c:pt>
                      <c:pt idx="217">
                        <c:v>0.76597222222222217</c:v>
                      </c:pt>
                      <c:pt idx="218">
                        <c:v>0.76736111111111116</c:v>
                      </c:pt>
                      <c:pt idx="219">
                        <c:v>0.76874999999999993</c:v>
                      </c:pt>
                      <c:pt idx="220">
                        <c:v>0.77083333333333337</c:v>
                      </c:pt>
                      <c:pt idx="221">
                        <c:v>0.77222222222222225</c:v>
                      </c:pt>
                      <c:pt idx="222">
                        <c:v>0.77430555555555547</c:v>
                      </c:pt>
                      <c:pt idx="223">
                        <c:v>0.77569444444444446</c:v>
                      </c:pt>
                      <c:pt idx="224">
                        <c:v>0.77708333333333324</c:v>
                      </c:pt>
                      <c:pt idx="225">
                        <c:v>0.77916666666666667</c:v>
                      </c:pt>
                      <c:pt idx="226">
                        <c:v>0.78125</c:v>
                      </c:pt>
                      <c:pt idx="227">
                        <c:v>0.78263888888888899</c:v>
                      </c:pt>
                      <c:pt idx="228">
                        <c:v>0.78472222222222221</c:v>
                      </c:pt>
                      <c:pt idx="229">
                        <c:v>0.78611111111111109</c:v>
                      </c:pt>
                      <c:pt idx="230">
                        <c:v>0.78888888888888886</c:v>
                      </c:pt>
                      <c:pt idx="231">
                        <c:v>0.79166666666666663</c:v>
                      </c:pt>
                      <c:pt idx="232">
                        <c:v>0.79236111111111107</c:v>
                      </c:pt>
                      <c:pt idx="233">
                        <c:v>0.79513888888888884</c:v>
                      </c:pt>
                      <c:pt idx="234">
                        <c:v>0.79722222222222217</c:v>
                      </c:pt>
                      <c:pt idx="235">
                        <c:v>0.7993055555555556</c:v>
                      </c:pt>
                      <c:pt idx="236">
                        <c:v>0.80208333333333337</c:v>
                      </c:pt>
                      <c:pt idx="237">
                        <c:v>0.8027777777777777</c:v>
                      </c:pt>
                      <c:pt idx="238">
                        <c:v>0.8041666666666667</c:v>
                      </c:pt>
                      <c:pt idx="239">
                        <c:v>0.80625000000000002</c:v>
                      </c:pt>
                      <c:pt idx="240">
                        <c:v>0.80833333333333324</c:v>
                      </c:pt>
                      <c:pt idx="241">
                        <c:v>0.81041666666666667</c:v>
                      </c:pt>
                      <c:pt idx="242">
                        <c:v>0.81041666666666667</c:v>
                      </c:pt>
                      <c:pt idx="243">
                        <c:v>0.8125</c:v>
                      </c:pt>
                      <c:pt idx="244">
                        <c:v>0.81388888888888899</c:v>
                      </c:pt>
                      <c:pt idx="245">
                        <c:v>0.81666666666666676</c:v>
                      </c:pt>
                      <c:pt idx="246">
                        <c:v>0.81874999999999998</c:v>
                      </c:pt>
                      <c:pt idx="247">
                        <c:v>0.8208333333333333</c:v>
                      </c:pt>
                      <c:pt idx="248">
                        <c:v>0.82291666666666663</c:v>
                      </c:pt>
                      <c:pt idx="249">
                        <c:v>0.82500000000000007</c:v>
                      </c:pt>
                      <c:pt idx="250">
                        <c:v>0.82777777777777783</c:v>
                      </c:pt>
                      <c:pt idx="251">
                        <c:v>0.8305555555555556</c:v>
                      </c:pt>
                      <c:pt idx="252">
                        <c:v>0.83333333333333337</c:v>
                      </c:pt>
                      <c:pt idx="253">
                        <c:v>0.8340277777777777</c:v>
                      </c:pt>
                      <c:pt idx="254">
                        <c:v>0.83680555555555547</c:v>
                      </c:pt>
                      <c:pt idx="255">
                        <c:v>0.83888888888888891</c:v>
                      </c:pt>
                      <c:pt idx="256">
                        <c:v>0.84097222222222223</c:v>
                      </c:pt>
                      <c:pt idx="257">
                        <c:v>0.84375</c:v>
                      </c:pt>
                      <c:pt idx="258">
                        <c:v>0.84513888888888899</c:v>
                      </c:pt>
                      <c:pt idx="259">
                        <c:v>0.84722222222222221</c:v>
                      </c:pt>
                      <c:pt idx="260">
                        <c:v>0.84930555555555554</c:v>
                      </c:pt>
                      <c:pt idx="261">
                        <c:v>0.85069444444444453</c:v>
                      </c:pt>
                      <c:pt idx="262">
                        <c:v>0.8534722222222223</c:v>
                      </c:pt>
                      <c:pt idx="263">
                        <c:v>0.85555555555555562</c:v>
                      </c:pt>
                      <c:pt idx="264">
                        <c:v>0.85763888888888884</c:v>
                      </c:pt>
                      <c:pt idx="265">
                        <c:v>0.85972222222222217</c:v>
                      </c:pt>
                      <c:pt idx="266">
                        <c:v>0.8618055555555556</c:v>
                      </c:pt>
                      <c:pt idx="267">
                        <c:v>0.86388888888888893</c:v>
                      </c:pt>
                      <c:pt idx="268">
                        <c:v>0.86597222222222225</c:v>
                      </c:pt>
                      <c:pt idx="269">
                        <c:v>0.86805555555555547</c:v>
                      </c:pt>
                      <c:pt idx="270">
                        <c:v>0.87152777777777779</c:v>
                      </c:pt>
                      <c:pt idx="271">
                        <c:v>0.875</c:v>
                      </c:pt>
                      <c:pt idx="272">
                        <c:v>0.87569444444444444</c:v>
                      </c:pt>
                      <c:pt idx="273">
                        <c:v>0.87847222222222221</c:v>
                      </c:pt>
                      <c:pt idx="274">
                        <c:v>0.87986111111111109</c:v>
                      </c:pt>
                      <c:pt idx="275">
                        <c:v>0.88263888888888886</c:v>
                      </c:pt>
                      <c:pt idx="276">
                        <c:v>0.88541666666666663</c:v>
                      </c:pt>
                      <c:pt idx="277">
                        <c:v>0.88680555555555562</c:v>
                      </c:pt>
                      <c:pt idx="278">
                        <c:v>0.8881944444444444</c:v>
                      </c:pt>
                      <c:pt idx="279">
                        <c:v>0.89027777777777783</c:v>
                      </c:pt>
                      <c:pt idx="280">
                        <c:v>0.89236111111111116</c:v>
                      </c:pt>
                      <c:pt idx="281">
                        <c:v>0.89444444444444438</c:v>
                      </c:pt>
                      <c:pt idx="282">
                        <c:v>0.8979166666666667</c:v>
                      </c:pt>
                      <c:pt idx="283">
                        <c:v>0.9</c:v>
                      </c:pt>
                      <c:pt idx="284">
                        <c:v>0.90416666666666667</c:v>
                      </c:pt>
                      <c:pt idx="285">
                        <c:v>0.90625</c:v>
                      </c:pt>
                      <c:pt idx="286">
                        <c:v>0.90694444444444444</c:v>
                      </c:pt>
                      <c:pt idx="287">
                        <c:v>0.90902777777777777</c:v>
                      </c:pt>
                      <c:pt idx="288">
                        <c:v>0.91111111111111109</c:v>
                      </c:pt>
                      <c:pt idx="289">
                        <c:v>0.91388888888888886</c:v>
                      </c:pt>
                      <c:pt idx="290">
                        <c:v>0.91666666666666663</c:v>
                      </c:pt>
                      <c:pt idx="291">
                        <c:v>0.91805555555555562</c:v>
                      </c:pt>
                      <c:pt idx="292">
                        <c:v>0.92013888888888884</c:v>
                      </c:pt>
                      <c:pt idx="293">
                        <c:v>0.92222222222222217</c:v>
                      </c:pt>
                      <c:pt idx="294">
                        <c:v>0.9243055555555556</c:v>
                      </c:pt>
                      <c:pt idx="295">
                        <c:v>0.92638888888888893</c:v>
                      </c:pt>
                      <c:pt idx="296">
                        <c:v>0.92986111111111114</c:v>
                      </c:pt>
                      <c:pt idx="297">
                        <c:v>0.93125000000000002</c:v>
                      </c:pt>
                      <c:pt idx="298">
                        <c:v>0.93333333333333324</c:v>
                      </c:pt>
                      <c:pt idx="299">
                        <c:v>0.93680555555555556</c:v>
                      </c:pt>
                      <c:pt idx="300">
                        <c:v>0.93888888888888899</c:v>
                      </c:pt>
                      <c:pt idx="301">
                        <c:v>0.94374999999999998</c:v>
                      </c:pt>
                      <c:pt idx="302">
                        <c:v>0.94791666666666663</c:v>
                      </c:pt>
                      <c:pt idx="303">
                        <c:v>0.94861111111111107</c:v>
                      </c:pt>
                      <c:pt idx="304">
                        <c:v>0.95208333333333339</c:v>
                      </c:pt>
                      <c:pt idx="305">
                        <c:v>0.95416666666666661</c:v>
                      </c:pt>
                      <c:pt idx="306">
                        <c:v>0.95833333333333337</c:v>
                      </c:pt>
                      <c:pt idx="307">
                        <c:v>0.9590277777777777</c:v>
                      </c:pt>
                      <c:pt idx="308">
                        <c:v>0.96250000000000002</c:v>
                      </c:pt>
                      <c:pt idx="309">
                        <c:v>0.96388888888888891</c:v>
                      </c:pt>
                      <c:pt idx="310">
                        <c:v>0.96875</c:v>
                      </c:pt>
                      <c:pt idx="311">
                        <c:v>0.96944444444444444</c:v>
                      </c:pt>
                      <c:pt idx="312">
                        <c:v>0.97430555555555554</c:v>
                      </c:pt>
                      <c:pt idx="313">
                        <c:v>0.9770833333333333</c:v>
                      </c:pt>
                      <c:pt idx="314">
                        <c:v>0.98125000000000007</c:v>
                      </c:pt>
                      <c:pt idx="315">
                        <c:v>0.98611111111111116</c:v>
                      </c:pt>
                      <c:pt idx="316">
                        <c:v>0.98958333333333337</c:v>
                      </c:pt>
                      <c:pt idx="317">
                        <c:v>0.99722222222222223</c:v>
                      </c:pt>
                      <c:pt idx="318">
                        <c:v>1.0041666666666667</c:v>
                      </c:pt>
                      <c:pt idx="319">
                        <c:v>1.0097222222222222</c:v>
                      </c:pt>
                      <c:pt idx="320">
                        <c:v>1.0111111111111111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'中央線快速_八王子・大月方面(下り)_平日'!$U$4:$U$324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3.4722222222222099E-3</c:v>
                      </c:pt>
                      <c:pt idx="1">
                        <c:v>3.4722222222222099E-3</c:v>
                      </c:pt>
                      <c:pt idx="2">
                        <c:v>4.1666666666667074E-3</c:v>
                      </c:pt>
                      <c:pt idx="3">
                        <c:v>3.4722222222222099E-3</c:v>
                      </c:pt>
                      <c:pt idx="4">
                        <c:v>4.1666666666666519E-3</c:v>
                      </c:pt>
                      <c:pt idx="5">
                        <c:v>2.7777777777778234E-3</c:v>
                      </c:pt>
                      <c:pt idx="6">
                        <c:v>5.5555555555555358E-3</c:v>
                      </c:pt>
                      <c:pt idx="7">
                        <c:v>2.7777777777777679E-3</c:v>
                      </c:pt>
                      <c:pt idx="8">
                        <c:v>4.1666666666666519E-3</c:v>
                      </c:pt>
                      <c:pt idx="9">
                        <c:v>4.1666666666666519E-3</c:v>
                      </c:pt>
                      <c:pt idx="10">
                        <c:v>2.0833333333333259E-3</c:v>
                      </c:pt>
                      <c:pt idx="11">
                        <c:v>4.1666666666667074E-3</c:v>
                      </c:pt>
                      <c:pt idx="12">
                        <c:v>3.4722222222222099E-3</c:v>
                      </c:pt>
                      <c:pt idx="13">
                        <c:v>6.9444444444444198E-4</c:v>
                      </c:pt>
                      <c:pt idx="14">
                        <c:v>2.0833333333333259E-3</c:v>
                      </c:pt>
                      <c:pt idx="15">
                        <c:v>2.0833333333333814E-3</c:v>
                      </c:pt>
                      <c:pt idx="16">
                        <c:v>2.7777777777777679E-3</c:v>
                      </c:pt>
                      <c:pt idx="17">
                        <c:v>1.388888888888884E-3</c:v>
                      </c:pt>
                      <c:pt idx="18">
                        <c:v>1.388888888888884E-3</c:v>
                      </c:pt>
                      <c:pt idx="19">
                        <c:v>2.7777777777777679E-3</c:v>
                      </c:pt>
                      <c:pt idx="20">
                        <c:v>3.4722222222222099E-3</c:v>
                      </c:pt>
                      <c:pt idx="21">
                        <c:v>4.1666666666666519E-3</c:v>
                      </c:pt>
                      <c:pt idx="22">
                        <c:v>6.9444444444449749E-4</c:v>
                      </c:pt>
                      <c:pt idx="23">
                        <c:v>1.388888888888884E-3</c:v>
                      </c:pt>
                      <c:pt idx="24">
                        <c:v>1.388888888888884E-3</c:v>
                      </c:pt>
                      <c:pt idx="25">
                        <c:v>1.388888888888884E-3</c:v>
                      </c:pt>
                      <c:pt idx="26">
                        <c:v>2.0833333333332704E-3</c:v>
                      </c:pt>
                      <c:pt idx="27">
                        <c:v>1.388888888888884E-3</c:v>
                      </c:pt>
                      <c:pt idx="28">
                        <c:v>2.0833333333333814E-3</c:v>
                      </c:pt>
                      <c:pt idx="29">
                        <c:v>1.388888888888884E-3</c:v>
                      </c:pt>
                      <c:pt idx="30">
                        <c:v>1.388888888888884E-3</c:v>
                      </c:pt>
                      <c:pt idx="31">
                        <c:v>2.0833333333333814E-3</c:v>
                      </c:pt>
                      <c:pt idx="32">
                        <c:v>1.388888888888884E-3</c:v>
                      </c:pt>
                      <c:pt idx="33">
                        <c:v>1.388888888888884E-3</c:v>
                      </c:pt>
                      <c:pt idx="34">
                        <c:v>1.388888888888884E-3</c:v>
                      </c:pt>
                      <c:pt idx="35">
                        <c:v>1.388888888888884E-3</c:v>
                      </c:pt>
                      <c:pt idx="36">
                        <c:v>1.388888888888884E-3</c:v>
                      </c:pt>
                      <c:pt idx="37">
                        <c:v>1.388888888888884E-3</c:v>
                      </c:pt>
                      <c:pt idx="38">
                        <c:v>1.388888888888884E-3</c:v>
                      </c:pt>
                      <c:pt idx="39">
                        <c:v>1.388888888888884E-3</c:v>
                      </c:pt>
                      <c:pt idx="40">
                        <c:v>1.388888888888884E-3</c:v>
                      </c:pt>
                      <c:pt idx="41">
                        <c:v>1.388888888888884E-3</c:v>
                      </c:pt>
                      <c:pt idx="42">
                        <c:v>1.388888888888884E-3</c:v>
                      </c:pt>
                      <c:pt idx="43">
                        <c:v>1.3888888888889395E-3</c:v>
                      </c:pt>
                      <c:pt idx="44">
                        <c:v>1.388888888888884E-3</c:v>
                      </c:pt>
                      <c:pt idx="45">
                        <c:v>1.388888888888884E-3</c:v>
                      </c:pt>
                      <c:pt idx="46">
                        <c:v>1.388888888888884E-3</c:v>
                      </c:pt>
                      <c:pt idx="47">
                        <c:v>1.388888888888884E-3</c:v>
                      </c:pt>
                      <c:pt idx="48">
                        <c:v>1.388888888888884E-3</c:v>
                      </c:pt>
                      <c:pt idx="49">
                        <c:v>1.388888888888884E-3</c:v>
                      </c:pt>
                      <c:pt idx="50">
                        <c:v>1.388888888888884E-3</c:v>
                      </c:pt>
                      <c:pt idx="51">
                        <c:v>1.388888888888884E-3</c:v>
                      </c:pt>
                      <c:pt idx="52">
                        <c:v>1.388888888888884E-3</c:v>
                      </c:pt>
                      <c:pt idx="53">
                        <c:v>1.388888888888884E-3</c:v>
                      </c:pt>
                      <c:pt idx="54">
                        <c:v>1.388888888888884E-3</c:v>
                      </c:pt>
                      <c:pt idx="55">
                        <c:v>1.388888888888884E-3</c:v>
                      </c:pt>
                      <c:pt idx="56">
                        <c:v>1.388888888888884E-3</c:v>
                      </c:pt>
                      <c:pt idx="57">
                        <c:v>1.388888888888884E-3</c:v>
                      </c:pt>
                      <c:pt idx="58">
                        <c:v>1.3888888888889395E-3</c:v>
                      </c:pt>
                      <c:pt idx="59">
                        <c:v>1.388888888888884E-3</c:v>
                      </c:pt>
                      <c:pt idx="60">
                        <c:v>1.388888888888884E-3</c:v>
                      </c:pt>
                      <c:pt idx="61">
                        <c:v>1.388888888888884E-3</c:v>
                      </c:pt>
                      <c:pt idx="62">
                        <c:v>1.388888888888884E-3</c:v>
                      </c:pt>
                      <c:pt idx="63">
                        <c:v>1.388888888888884E-3</c:v>
                      </c:pt>
                      <c:pt idx="64">
                        <c:v>1.388888888888884E-3</c:v>
                      </c:pt>
                      <c:pt idx="65">
                        <c:v>2.0833333333333814E-3</c:v>
                      </c:pt>
                      <c:pt idx="66">
                        <c:v>2.7777777777777679E-3</c:v>
                      </c:pt>
                      <c:pt idx="67">
                        <c:v>1.388888888888884E-3</c:v>
                      </c:pt>
                      <c:pt idx="68">
                        <c:v>1.388888888888884E-3</c:v>
                      </c:pt>
                      <c:pt idx="69">
                        <c:v>2.0833333333332704E-3</c:v>
                      </c:pt>
                      <c:pt idx="70">
                        <c:v>3.4722222222222654E-3</c:v>
                      </c:pt>
                      <c:pt idx="71">
                        <c:v>1.388888888888884E-3</c:v>
                      </c:pt>
                      <c:pt idx="72">
                        <c:v>1.388888888888884E-3</c:v>
                      </c:pt>
                      <c:pt idx="73">
                        <c:v>2.0833333333333814E-3</c:v>
                      </c:pt>
                      <c:pt idx="74">
                        <c:v>4.1666666666666519E-3</c:v>
                      </c:pt>
                      <c:pt idx="75">
                        <c:v>6.9444444444444198E-4</c:v>
                      </c:pt>
                      <c:pt idx="76">
                        <c:v>2.7777777777777679E-3</c:v>
                      </c:pt>
                      <c:pt idx="77">
                        <c:v>1.388888888888884E-3</c:v>
                      </c:pt>
                      <c:pt idx="78">
                        <c:v>2.0833333333333259E-3</c:v>
                      </c:pt>
                      <c:pt idx="79">
                        <c:v>1.388888888888884E-3</c:v>
                      </c:pt>
                      <c:pt idx="80">
                        <c:v>2.7777777777778234E-3</c:v>
                      </c:pt>
                      <c:pt idx="81">
                        <c:v>4.8611111111110383E-3</c:v>
                      </c:pt>
                      <c:pt idx="82">
                        <c:v>1.388888888888884E-3</c:v>
                      </c:pt>
                      <c:pt idx="83">
                        <c:v>4.1666666666667629E-3</c:v>
                      </c:pt>
                      <c:pt idx="84">
                        <c:v>4.1666666666666519E-3</c:v>
                      </c:pt>
                      <c:pt idx="85">
                        <c:v>1.388888888888884E-3</c:v>
                      </c:pt>
                      <c:pt idx="86">
                        <c:v>4.1666666666666519E-3</c:v>
                      </c:pt>
                      <c:pt idx="87">
                        <c:v>1.388888888888884E-3</c:v>
                      </c:pt>
                      <c:pt idx="88">
                        <c:v>1.388888888888884E-3</c:v>
                      </c:pt>
                      <c:pt idx="89">
                        <c:v>2.7777777777777679E-3</c:v>
                      </c:pt>
                      <c:pt idx="90">
                        <c:v>4.8611111111110938E-3</c:v>
                      </c:pt>
                      <c:pt idx="91">
                        <c:v>1.388888888888884E-3</c:v>
                      </c:pt>
                      <c:pt idx="92">
                        <c:v>3.4722222222222654E-3</c:v>
                      </c:pt>
                      <c:pt idx="93">
                        <c:v>1.388888888888884E-3</c:v>
                      </c:pt>
                      <c:pt idx="94">
                        <c:v>2.0833333333332704E-3</c:v>
                      </c:pt>
                      <c:pt idx="95">
                        <c:v>2.7777777777778789E-3</c:v>
                      </c:pt>
                      <c:pt idx="96">
                        <c:v>3.4722222222221544E-3</c:v>
                      </c:pt>
                      <c:pt idx="97">
                        <c:v>2.0833333333333814E-3</c:v>
                      </c:pt>
                      <c:pt idx="98">
                        <c:v>4.1666666666666519E-3</c:v>
                      </c:pt>
                      <c:pt idx="99">
                        <c:v>6.9444444444444198E-4</c:v>
                      </c:pt>
                      <c:pt idx="100">
                        <c:v>4.1666666666666519E-3</c:v>
                      </c:pt>
                      <c:pt idx="101">
                        <c:v>1.388888888888884E-3</c:v>
                      </c:pt>
                      <c:pt idx="102">
                        <c:v>3.4722222222222099E-3</c:v>
                      </c:pt>
                      <c:pt idx="103">
                        <c:v>1.3888888888889395E-3</c:v>
                      </c:pt>
                      <c:pt idx="104">
                        <c:v>4.1666666666666519E-3</c:v>
                      </c:pt>
                      <c:pt idx="105">
                        <c:v>1.388888888888884E-3</c:v>
                      </c:pt>
                      <c:pt idx="106">
                        <c:v>4.1666666666666519E-3</c:v>
                      </c:pt>
                      <c:pt idx="107">
                        <c:v>6.9444444444444198E-4</c:v>
                      </c:pt>
                      <c:pt idx="108">
                        <c:v>1.388888888888884E-3</c:v>
                      </c:pt>
                      <c:pt idx="109">
                        <c:v>4.8611111111110938E-3</c:v>
                      </c:pt>
                      <c:pt idx="110">
                        <c:v>1.388888888888884E-3</c:v>
                      </c:pt>
                      <c:pt idx="111">
                        <c:v>3.4722222222222099E-3</c:v>
                      </c:pt>
                      <c:pt idx="112">
                        <c:v>3.4722222222223209E-3</c:v>
                      </c:pt>
                      <c:pt idx="113">
                        <c:v>1.388888888888884E-3</c:v>
                      </c:pt>
                      <c:pt idx="114">
                        <c:v>4.1666666666666519E-3</c:v>
                      </c:pt>
                      <c:pt idx="115">
                        <c:v>6.9444444444444198E-4</c:v>
                      </c:pt>
                      <c:pt idx="116">
                        <c:v>4.1666666666666519E-3</c:v>
                      </c:pt>
                      <c:pt idx="117">
                        <c:v>1.388888888888884E-3</c:v>
                      </c:pt>
                      <c:pt idx="118">
                        <c:v>3.4722222222222099E-3</c:v>
                      </c:pt>
                      <c:pt idx="119">
                        <c:v>1.388888888888884E-3</c:v>
                      </c:pt>
                      <c:pt idx="120">
                        <c:v>4.1666666666666519E-3</c:v>
                      </c:pt>
                      <c:pt idx="121">
                        <c:v>1.388888888888884E-3</c:v>
                      </c:pt>
                      <c:pt idx="122">
                        <c:v>4.1666666666666519E-3</c:v>
                      </c:pt>
                      <c:pt idx="123">
                        <c:v>1.388888888888884E-3</c:v>
                      </c:pt>
                      <c:pt idx="124">
                        <c:v>3.4722222222223209E-3</c:v>
                      </c:pt>
                      <c:pt idx="125">
                        <c:v>1.388888888888884E-3</c:v>
                      </c:pt>
                      <c:pt idx="126">
                        <c:v>2.0833333333332149E-3</c:v>
                      </c:pt>
                      <c:pt idx="127">
                        <c:v>2.7777777777778789E-3</c:v>
                      </c:pt>
                      <c:pt idx="128">
                        <c:v>4.1666666666666519E-3</c:v>
                      </c:pt>
                      <c:pt idx="129">
                        <c:v>1.388888888888884E-3</c:v>
                      </c:pt>
                      <c:pt idx="130">
                        <c:v>4.1666666666666519E-3</c:v>
                      </c:pt>
                      <c:pt idx="131">
                        <c:v>6.9444444444444198E-4</c:v>
                      </c:pt>
                      <c:pt idx="132">
                        <c:v>4.1666666666666519E-3</c:v>
                      </c:pt>
                      <c:pt idx="133">
                        <c:v>1.388888888888884E-3</c:v>
                      </c:pt>
                      <c:pt idx="134">
                        <c:v>3.4722222222222099E-3</c:v>
                      </c:pt>
                      <c:pt idx="135">
                        <c:v>1.388888888888995E-3</c:v>
                      </c:pt>
                      <c:pt idx="136">
                        <c:v>4.1666666666666519E-3</c:v>
                      </c:pt>
                      <c:pt idx="137">
                        <c:v>1.388888888888884E-3</c:v>
                      </c:pt>
                      <c:pt idx="138">
                        <c:v>4.1666666666666519E-3</c:v>
                      </c:pt>
                      <c:pt idx="139">
                        <c:v>1.388888888888884E-3</c:v>
                      </c:pt>
                      <c:pt idx="140">
                        <c:v>3.4722222222222099E-3</c:v>
                      </c:pt>
                      <c:pt idx="141">
                        <c:v>1.388888888888884E-3</c:v>
                      </c:pt>
                      <c:pt idx="142">
                        <c:v>2.0833333333333259E-3</c:v>
                      </c:pt>
                      <c:pt idx="143">
                        <c:v>3.4722222222222099E-3</c:v>
                      </c:pt>
                      <c:pt idx="144">
                        <c:v>3.4722222222222099E-3</c:v>
                      </c:pt>
                      <c:pt idx="145">
                        <c:v>1.388888888888884E-3</c:v>
                      </c:pt>
                      <c:pt idx="146">
                        <c:v>4.1666666666666519E-3</c:v>
                      </c:pt>
                      <c:pt idx="147">
                        <c:v>6.94444444444553E-4</c:v>
                      </c:pt>
                      <c:pt idx="148">
                        <c:v>4.1666666666666519E-3</c:v>
                      </c:pt>
                      <c:pt idx="149">
                        <c:v>1.388888888888884E-3</c:v>
                      </c:pt>
                      <c:pt idx="150">
                        <c:v>3.4722222222220989E-3</c:v>
                      </c:pt>
                      <c:pt idx="151">
                        <c:v>1.388888888888995E-3</c:v>
                      </c:pt>
                      <c:pt idx="152">
                        <c:v>4.1666666666666519E-3</c:v>
                      </c:pt>
                      <c:pt idx="153">
                        <c:v>1.388888888888884E-3</c:v>
                      </c:pt>
                      <c:pt idx="154">
                        <c:v>4.1666666666666519E-3</c:v>
                      </c:pt>
                      <c:pt idx="155">
                        <c:v>1.388888888888884E-3</c:v>
                      </c:pt>
                      <c:pt idx="156">
                        <c:v>3.4722222222222099E-3</c:v>
                      </c:pt>
                      <c:pt idx="157">
                        <c:v>1.388888888888884E-3</c:v>
                      </c:pt>
                      <c:pt idx="158">
                        <c:v>2.0833333333333259E-3</c:v>
                      </c:pt>
                      <c:pt idx="159">
                        <c:v>2.0833333333333259E-3</c:v>
                      </c:pt>
                      <c:pt idx="160">
                        <c:v>4.1666666666666519E-3</c:v>
                      </c:pt>
                      <c:pt idx="161">
                        <c:v>2.083333333333437E-3</c:v>
                      </c:pt>
                      <c:pt idx="162">
                        <c:v>4.1666666666666519E-3</c:v>
                      </c:pt>
                      <c:pt idx="163">
                        <c:v>6.9444444444444198E-4</c:v>
                      </c:pt>
                      <c:pt idx="164">
                        <c:v>4.1666666666666519E-3</c:v>
                      </c:pt>
                      <c:pt idx="165">
                        <c:v>1.388888888888884E-3</c:v>
                      </c:pt>
                      <c:pt idx="166">
                        <c:v>4.1666666666666519E-3</c:v>
                      </c:pt>
                      <c:pt idx="167">
                        <c:v>1.388888888888884E-3</c:v>
                      </c:pt>
                      <c:pt idx="168">
                        <c:v>3.4722222222222099E-3</c:v>
                      </c:pt>
                      <c:pt idx="169">
                        <c:v>2.0833333333333259E-3</c:v>
                      </c:pt>
                      <c:pt idx="170">
                        <c:v>3.4722222222222099E-3</c:v>
                      </c:pt>
                      <c:pt idx="171">
                        <c:v>1.388888888888995E-3</c:v>
                      </c:pt>
                      <c:pt idx="172">
                        <c:v>3.4722222222222099E-3</c:v>
                      </c:pt>
                      <c:pt idx="173">
                        <c:v>1.3888888888887729E-3</c:v>
                      </c:pt>
                      <c:pt idx="174">
                        <c:v>2.0833333333333259E-3</c:v>
                      </c:pt>
                      <c:pt idx="175">
                        <c:v>4.1666666666667629E-3</c:v>
                      </c:pt>
                      <c:pt idx="176">
                        <c:v>1.3888888888887729E-3</c:v>
                      </c:pt>
                      <c:pt idx="177">
                        <c:v>3.4722222222223209E-3</c:v>
                      </c:pt>
                      <c:pt idx="178">
                        <c:v>3.4722222222222099E-3</c:v>
                      </c:pt>
                      <c:pt idx="179">
                        <c:v>6.9444444444444198E-4</c:v>
                      </c:pt>
                      <c:pt idx="180">
                        <c:v>3.4722222222223209E-3</c:v>
                      </c:pt>
                      <c:pt idx="181">
                        <c:v>3.4722222222220989E-3</c:v>
                      </c:pt>
                      <c:pt idx="182">
                        <c:v>2.083333333333437E-3</c:v>
                      </c:pt>
                      <c:pt idx="183">
                        <c:v>2.0833333333333259E-3</c:v>
                      </c:pt>
                      <c:pt idx="184">
                        <c:v>1.3888888888887729E-3</c:v>
                      </c:pt>
                      <c:pt idx="185">
                        <c:v>1.388888888888995E-3</c:v>
                      </c:pt>
                      <c:pt idx="186">
                        <c:v>2.7777777777777679E-3</c:v>
                      </c:pt>
                      <c:pt idx="187">
                        <c:v>3.4722222222222099E-3</c:v>
                      </c:pt>
                      <c:pt idx="188">
                        <c:v>1.388888888888884E-3</c:v>
                      </c:pt>
                      <c:pt idx="189">
                        <c:v>2.7777777777777679E-3</c:v>
                      </c:pt>
                      <c:pt idx="190">
                        <c:v>2.7777777777777679E-3</c:v>
                      </c:pt>
                      <c:pt idx="191">
                        <c:v>2.7777777777777679E-3</c:v>
                      </c:pt>
                      <c:pt idx="192">
                        <c:v>1.388888888888884E-3</c:v>
                      </c:pt>
                      <c:pt idx="193">
                        <c:v>2.0833333333333259E-3</c:v>
                      </c:pt>
                      <c:pt idx="194">
                        <c:v>2.0833333333333259E-3</c:v>
                      </c:pt>
                      <c:pt idx="195">
                        <c:v>2.083333333333437E-3</c:v>
                      </c:pt>
                      <c:pt idx="196">
                        <c:v>1.3888888888887729E-3</c:v>
                      </c:pt>
                      <c:pt idx="197">
                        <c:v>2.0833333333333259E-3</c:v>
                      </c:pt>
                      <c:pt idx="198">
                        <c:v>1.388888888888995E-3</c:v>
                      </c:pt>
                      <c:pt idx="199">
                        <c:v>2.7777777777777679E-3</c:v>
                      </c:pt>
                      <c:pt idx="200">
                        <c:v>1.3888888888887729E-3</c:v>
                      </c:pt>
                      <c:pt idx="201">
                        <c:v>1.388888888888995E-3</c:v>
                      </c:pt>
                      <c:pt idx="202">
                        <c:v>2.0833333333332149E-3</c:v>
                      </c:pt>
                      <c:pt idx="203">
                        <c:v>2.0833333333333259E-3</c:v>
                      </c:pt>
                      <c:pt idx="204">
                        <c:v>2.083333333333437E-3</c:v>
                      </c:pt>
                      <c:pt idx="205">
                        <c:v>1.388888888888884E-3</c:v>
                      </c:pt>
                      <c:pt idx="206">
                        <c:v>2.0833333333332149E-3</c:v>
                      </c:pt>
                      <c:pt idx="207">
                        <c:v>2.7777777777777679E-3</c:v>
                      </c:pt>
                      <c:pt idx="208">
                        <c:v>2.77777777777799E-3</c:v>
                      </c:pt>
                      <c:pt idx="209">
                        <c:v>1.3888888888887729E-3</c:v>
                      </c:pt>
                      <c:pt idx="210">
                        <c:v>2.0833333333333259E-3</c:v>
                      </c:pt>
                      <c:pt idx="211">
                        <c:v>1.388888888888884E-3</c:v>
                      </c:pt>
                      <c:pt idx="212">
                        <c:v>1.388888888888884E-3</c:v>
                      </c:pt>
                      <c:pt idx="213">
                        <c:v>0</c:v>
                      </c:pt>
                      <c:pt idx="214">
                        <c:v>2.7777777777777679E-3</c:v>
                      </c:pt>
                      <c:pt idx="215">
                        <c:v>1.388888888888995E-3</c:v>
                      </c:pt>
                      <c:pt idx="216">
                        <c:v>2.0833333333332149E-3</c:v>
                      </c:pt>
                      <c:pt idx="217">
                        <c:v>2.0833333333333259E-3</c:v>
                      </c:pt>
                      <c:pt idx="218">
                        <c:v>1.388888888888995E-3</c:v>
                      </c:pt>
                      <c:pt idx="219">
                        <c:v>1.3888888888887729E-3</c:v>
                      </c:pt>
                      <c:pt idx="220">
                        <c:v>2.083333333333437E-3</c:v>
                      </c:pt>
                      <c:pt idx="221">
                        <c:v>1.388888888888884E-3</c:v>
                      </c:pt>
                      <c:pt idx="222">
                        <c:v>2.0833333333332149E-3</c:v>
                      </c:pt>
                      <c:pt idx="223">
                        <c:v>1.388888888888995E-3</c:v>
                      </c:pt>
                      <c:pt idx="224">
                        <c:v>1.3888888888887729E-3</c:v>
                      </c:pt>
                      <c:pt idx="225">
                        <c:v>2.083333333333437E-3</c:v>
                      </c:pt>
                      <c:pt idx="226">
                        <c:v>2.0833333333333259E-3</c:v>
                      </c:pt>
                      <c:pt idx="227">
                        <c:v>1.388888888888995E-3</c:v>
                      </c:pt>
                      <c:pt idx="228">
                        <c:v>2.0833333333332149E-3</c:v>
                      </c:pt>
                      <c:pt idx="229">
                        <c:v>1.388888888888884E-3</c:v>
                      </c:pt>
                      <c:pt idx="230">
                        <c:v>2.7777777777777679E-3</c:v>
                      </c:pt>
                      <c:pt idx="231">
                        <c:v>2.7777777777777679E-3</c:v>
                      </c:pt>
                      <c:pt idx="232">
                        <c:v>6.9444444444444198E-4</c:v>
                      </c:pt>
                      <c:pt idx="233">
                        <c:v>2.7777777777777679E-3</c:v>
                      </c:pt>
                      <c:pt idx="234">
                        <c:v>2.0833333333333259E-3</c:v>
                      </c:pt>
                      <c:pt idx="235">
                        <c:v>2.083333333333437E-3</c:v>
                      </c:pt>
                      <c:pt idx="236">
                        <c:v>2.7777777777777679E-3</c:v>
                      </c:pt>
                      <c:pt idx="237">
                        <c:v>6.9444444444433095E-4</c:v>
                      </c:pt>
                      <c:pt idx="238">
                        <c:v>1.388888888888995E-3</c:v>
                      </c:pt>
                      <c:pt idx="239">
                        <c:v>2.0833333333333259E-3</c:v>
                      </c:pt>
                      <c:pt idx="240">
                        <c:v>2.0833333333332149E-3</c:v>
                      </c:pt>
                      <c:pt idx="241">
                        <c:v>2.083333333333437E-3</c:v>
                      </c:pt>
                      <c:pt idx="242">
                        <c:v>0</c:v>
                      </c:pt>
                      <c:pt idx="243">
                        <c:v>2.0833333333333259E-3</c:v>
                      </c:pt>
                      <c:pt idx="244">
                        <c:v>1.388888888888995E-3</c:v>
                      </c:pt>
                      <c:pt idx="245">
                        <c:v>2.7777777777777679E-3</c:v>
                      </c:pt>
                      <c:pt idx="246">
                        <c:v>2.0833333333332149E-3</c:v>
                      </c:pt>
                      <c:pt idx="247">
                        <c:v>2.0833333333333259E-3</c:v>
                      </c:pt>
                      <c:pt idx="248">
                        <c:v>2.0833333333333259E-3</c:v>
                      </c:pt>
                      <c:pt idx="249">
                        <c:v>2.083333333333437E-3</c:v>
                      </c:pt>
                      <c:pt idx="250">
                        <c:v>2.7777777777777679E-3</c:v>
                      </c:pt>
                      <c:pt idx="251">
                        <c:v>2.7777777777777679E-3</c:v>
                      </c:pt>
                      <c:pt idx="252">
                        <c:v>2.7777777777777679E-3</c:v>
                      </c:pt>
                      <c:pt idx="253">
                        <c:v>6.9444444444433095E-4</c:v>
                      </c:pt>
                      <c:pt idx="254">
                        <c:v>2.7777777777777679E-3</c:v>
                      </c:pt>
                      <c:pt idx="255">
                        <c:v>2.083333333333437E-3</c:v>
                      </c:pt>
                      <c:pt idx="256">
                        <c:v>2.0833333333333259E-3</c:v>
                      </c:pt>
                      <c:pt idx="257">
                        <c:v>2.7777777777777679E-3</c:v>
                      </c:pt>
                      <c:pt idx="258">
                        <c:v>1.388888888888995E-3</c:v>
                      </c:pt>
                      <c:pt idx="259">
                        <c:v>2.0833333333332149E-3</c:v>
                      </c:pt>
                      <c:pt idx="260">
                        <c:v>2.0833333333333259E-3</c:v>
                      </c:pt>
                      <c:pt idx="261">
                        <c:v>1.388888888888995E-3</c:v>
                      </c:pt>
                      <c:pt idx="262">
                        <c:v>2.7777777777777679E-3</c:v>
                      </c:pt>
                      <c:pt idx="263">
                        <c:v>2.0833333333333259E-3</c:v>
                      </c:pt>
                      <c:pt idx="264">
                        <c:v>2.0833333333332149E-3</c:v>
                      </c:pt>
                      <c:pt idx="265">
                        <c:v>2.0833333333333259E-3</c:v>
                      </c:pt>
                      <c:pt idx="266">
                        <c:v>2.083333333333437E-3</c:v>
                      </c:pt>
                      <c:pt idx="267">
                        <c:v>2.0833333333333259E-3</c:v>
                      </c:pt>
                      <c:pt idx="268">
                        <c:v>2.0833333333333259E-3</c:v>
                      </c:pt>
                      <c:pt idx="269">
                        <c:v>2.0833333333332149E-3</c:v>
                      </c:pt>
                      <c:pt idx="270">
                        <c:v>3.4722222222223209E-3</c:v>
                      </c:pt>
                      <c:pt idx="271">
                        <c:v>3.4722222222222099E-3</c:v>
                      </c:pt>
                      <c:pt idx="272">
                        <c:v>6.9444444444444198E-4</c:v>
                      </c:pt>
                      <c:pt idx="273">
                        <c:v>2.7777777777777679E-3</c:v>
                      </c:pt>
                      <c:pt idx="274">
                        <c:v>1.388888888888884E-3</c:v>
                      </c:pt>
                      <c:pt idx="275">
                        <c:v>2.7777777777777679E-3</c:v>
                      </c:pt>
                      <c:pt idx="276">
                        <c:v>2.7777777777777679E-3</c:v>
                      </c:pt>
                      <c:pt idx="277">
                        <c:v>1.388888888888995E-3</c:v>
                      </c:pt>
                      <c:pt idx="278">
                        <c:v>1.3888888888887729E-3</c:v>
                      </c:pt>
                      <c:pt idx="279">
                        <c:v>2.083333333333437E-3</c:v>
                      </c:pt>
                      <c:pt idx="280">
                        <c:v>2.0833333333333259E-3</c:v>
                      </c:pt>
                      <c:pt idx="281">
                        <c:v>2.0833333333332149E-3</c:v>
                      </c:pt>
                      <c:pt idx="282">
                        <c:v>3.4722222222223209E-3</c:v>
                      </c:pt>
                      <c:pt idx="283">
                        <c:v>2.0833333333333259E-3</c:v>
                      </c:pt>
                      <c:pt idx="284">
                        <c:v>4.1666666666666519E-3</c:v>
                      </c:pt>
                      <c:pt idx="285">
                        <c:v>2.0833333333333259E-3</c:v>
                      </c:pt>
                      <c:pt idx="286">
                        <c:v>6.9444444444444198E-4</c:v>
                      </c:pt>
                      <c:pt idx="287">
                        <c:v>2.0833333333333259E-3</c:v>
                      </c:pt>
                      <c:pt idx="288">
                        <c:v>2.0833333333333259E-3</c:v>
                      </c:pt>
                      <c:pt idx="289">
                        <c:v>2.7777777777777679E-3</c:v>
                      </c:pt>
                      <c:pt idx="290">
                        <c:v>2.7777777777777679E-3</c:v>
                      </c:pt>
                      <c:pt idx="291">
                        <c:v>1.388888888888995E-3</c:v>
                      </c:pt>
                      <c:pt idx="292">
                        <c:v>2.0833333333332149E-3</c:v>
                      </c:pt>
                      <c:pt idx="293">
                        <c:v>2.0833333333333259E-3</c:v>
                      </c:pt>
                      <c:pt idx="294">
                        <c:v>2.083333333333437E-3</c:v>
                      </c:pt>
                      <c:pt idx="295">
                        <c:v>2.0833333333333259E-3</c:v>
                      </c:pt>
                      <c:pt idx="296">
                        <c:v>3.4722222222222099E-3</c:v>
                      </c:pt>
                      <c:pt idx="297">
                        <c:v>1.388888888888884E-3</c:v>
                      </c:pt>
                      <c:pt idx="298">
                        <c:v>2.0833333333332149E-3</c:v>
                      </c:pt>
                      <c:pt idx="299">
                        <c:v>3.4722222222223209E-3</c:v>
                      </c:pt>
                      <c:pt idx="300">
                        <c:v>2.083333333333437E-3</c:v>
                      </c:pt>
                      <c:pt idx="301">
                        <c:v>4.8611111111109828E-3</c:v>
                      </c:pt>
                      <c:pt idx="302">
                        <c:v>4.1666666666666519E-3</c:v>
                      </c:pt>
                      <c:pt idx="303">
                        <c:v>6.9444444444444198E-4</c:v>
                      </c:pt>
                      <c:pt idx="304">
                        <c:v>3.4722222222223209E-3</c:v>
                      </c:pt>
                      <c:pt idx="305">
                        <c:v>2.0833333333332149E-3</c:v>
                      </c:pt>
                      <c:pt idx="306">
                        <c:v>4.1666666666667629E-3</c:v>
                      </c:pt>
                      <c:pt idx="307">
                        <c:v>6.9444444444433095E-4</c:v>
                      </c:pt>
                      <c:pt idx="308">
                        <c:v>3.4722222222223209E-3</c:v>
                      </c:pt>
                      <c:pt idx="309">
                        <c:v>1.388888888888884E-3</c:v>
                      </c:pt>
                      <c:pt idx="310">
                        <c:v>4.8611111111110938E-3</c:v>
                      </c:pt>
                      <c:pt idx="311">
                        <c:v>6.9444444444444198E-4</c:v>
                      </c:pt>
                      <c:pt idx="312">
                        <c:v>4.8611111111110938E-3</c:v>
                      </c:pt>
                      <c:pt idx="313">
                        <c:v>2.7777777777777679E-3</c:v>
                      </c:pt>
                      <c:pt idx="314">
                        <c:v>4.1666666666667629E-3</c:v>
                      </c:pt>
                      <c:pt idx="315">
                        <c:v>4.8611111111110938E-3</c:v>
                      </c:pt>
                      <c:pt idx="316">
                        <c:v>3.4722222222222099E-3</c:v>
                      </c:pt>
                      <c:pt idx="317">
                        <c:v>7.6388888888888618E-3</c:v>
                      </c:pt>
                      <c:pt idx="318">
                        <c:v>6.9444444444444198E-3</c:v>
                      </c:pt>
                      <c:pt idx="319">
                        <c:v>5.5555555555555358E-3</c:v>
                      </c:pt>
                      <c:pt idx="320">
                        <c:v>1.388888888888884E-3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8554-4BA4-AC36-05FD165740C8}"/>
                  </c:ext>
                </c:extLst>
              </c15:ser>
            </c15:filteredScatterSeries>
          </c:ext>
        </c:extLst>
      </c:scatterChart>
      <c:valAx>
        <c:axId val="367316344"/>
        <c:scaling>
          <c:orientation val="minMax"/>
          <c:max val="1.012"/>
          <c:min val="0.26805499999999999"/>
        </c:scaling>
        <c:delete val="0"/>
        <c:axPos val="b"/>
        <c:numFmt formatCode="[h]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7312816"/>
        <c:crosses val="autoZero"/>
        <c:crossBetween val="midCat"/>
        <c:majorUnit val="8.0000000000000016E-2"/>
        <c:minorUnit val="4.0000000000000008E-2"/>
      </c:valAx>
      <c:valAx>
        <c:axId val="367312816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7316344"/>
        <c:crosses val="autoZero"/>
        <c:crossBetween val="midCat"/>
        <c:majorUnit val="0.5"/>
      </c:valAx>
      <c:valAx>
        <c:axId val="367318696"/>
        <c:scaling>
          <c:orientation val="minMax"/>
        </c:scaling>
        <c:delete val="1"/>
        <c:axPos val="r"/>
        <c:numFmt formatCode="[h]:mm" sourceLinked="1"/>
        <c:majorTickMark val="out"/>
        <c:minorTickMark val="none"/>
        <c:tickLblPos val="nextTo"/>
        <c:crossAx val="367317912"/>
        <c:crosses val="max"/>
        <c:crossBetween val="midCat"/>
      </c:valAx>
      <c:valAx>
        <c:axId val="367317912"/>
        <c:scaling>
          <c:orientation val="minMax"/>
        </c:scaling>
        <c:delete val="1"/>
        <c:axPos val="b"/>
        <c:numFmt formatCode="[h]:mm" sourceLinked="1"/>
        <c:majorTickMark val="out"/>
        <c:minorTickMark val="none"/>
        <c:tickLblPos val="nextTo"/>
        <c:crossAx val="36731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運行間隔</c:v>
          </c:tx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'山手線_池袋・上野方面(外回り)_平日'!$D$3:$D$316</c:f>
              <c:numCache>
                <c:formatCode>[h]:mm</c:formatCode>
                <c:ptCount val="314"/>
                <c:pt idx="0">
                  <c:v>0.19583333333333333</c:v>
                </c:pt>
                <c:pt idx="1">
                  <c:v>0.20972222222222223</c:v>
                </c:pt>
                <c:pt idx="2">
                  <c:v>0.22152777777777777</c:v>
                </c:pt>
                <c:pt idx="3">
                  <c:v>0.23402777777777781</c:v>
                </c:pt>
                <c:pt idx="4">
                  <c:v>0.24097222222222223</c:v>
                </c:pt>
                <c:pt idx="5">
                  <c:v>0.24861111111111112</c:v>
                </c:pt>
                <c:pt idx="6">
                  <c:v>0.25416666666666665</c:v>
                </c:pt>
                <c:pt idx="7">
                  <c:v>0.25833333333333336</c:v>
                </c:pt>
                <c:pt idx="8">
                  <c:v>0.26250000000000001</c:v>
                </c:pt>
                <c:pt idx="9">
                  <c:v>0.26527777777777778</c:v>
                </c:pt>
                <c:pt idx="10">
                  <c:v>0.27083333333333331</c:v>
                </c:pt>
                <c:pt idx="11">
                  <c:v>0.27638888888888885</c:v>
                </c:pt>
                <c:pt idx="12">
                  <c:v>0.27847222222222223</c:v>
                </c:pt>
                <c:pt idx="13">
                  <c:v>0.28263888888888888</c:v>
                </c:pt>
                <c:pt idx="14">
                  <c:v>0.28680555555555554</c:v>
                </c:pt>
                <c:pt idx="15">
                  <c:v>0.29097222222222224</c:v>
                </c:pt>
                <c:pt idx="16">
                  <c:v>0.29444444444444445</c:v>
                </c:pt>
                <c:pt idx="17">
                  <c:v>0.29791666666666666</c:v>
                </c:pt>
                <c:pt idx="18">
                  <c:v>0.3</c:v>
                </c:pt>
                <c:pt idx="19">
                  <c:v>0.30138888888888887</c:v>
                </c:pt>
                <c:pt idx="20">
                  <c:v>0.3034722222222222</c:v>
                </c:pt>
                <c:pt idx="21">
                  <c:v>0.30555555555555552</c:v>
                </c:pt>
                <c:pt idx="22">
                  <c:v>0.30763888888888891</c:v>
                </c:pt>
                <c:pt idx="23">
                  <c:v>0.30902777777777779</c:v>
                </c:pt>
                <c:pt idx="24">
                  <c:v>0.31111111111111112</c:v>
                </c:pt>
                <c:pt idx="25">
                  <c:v>0.31319444444444444</c:v>
                </c:pt>
                <c:pt idx="26">
                  <c:v>0.31527777777777777</c:v>
                </c:pt>
                <c:pt idx="27">
                  <c:v>0.31666666666666665</c:v>
                </c:pt>
                <c:pt idx="28">
                  <c:v>0.31875000000000003</c:v>
                </c:pt>
                <c:pt idx="29">
                  <c:v>0.32083333333333336</c:v>
                </c:pt>
                <c:pt idx="30">
                  <c:v>0.32291666666666669</c:v>
                </c:pt>
                <c:pt idx="31">
                  <c:v>0.32430555555555557</c:v>
                </c:pt>
                <c:pt idx="32">
                  <c:v>0.3263888888888889</c:v>
                </c:pt>
                <c:pt idx="33">
                  <c:v>0.32847222222222222</c:v>
                </c:pt>
                <c:pt idx="34">
                  <c:v>0.33055555555555555</c:v>
                </c:pt>
                <c:pt idx="35">
                  <c:v>0.33263888888888887</c:v>
                </c:pt>
                <c:pt idx="36">
                  <c:v>0.33402777777777781</c:v>
                </c:pt>
                <c:pt idx="37">
                  <c:v>0.33611111111111108</c:v>
                </c:pt>
                <c:pt idx="38">
                  <c:v>0.33819444444444446</c:v>
                </c:pt>
                <c:pt idx="39">
                  <c:v>0.34027777777777773</c:v>
                </c:pt>
                <c:pt idx="40">
                  <c:v>0.34166666666666662</c:v>
                </c:pt>
                <c:pt idx="41">
                  <c:v>0.34375</c:v>
                </c:pt>
                <c:pt idx="42">
                  <c:v>0.34583333333333338</c:v>
                </c:pt>
                <c:pt idx="43">
                  <c:v>0.34722222222222227</c:v>
                </c:pt>
                <c:pt idx="44">
                  <c:v>0.34930555555555554</c:v>
                </c:pt>
                <c:pt idx="45">
                  <c:v>0.35138888888888892</c:v>
                </c:pt>
                <c:pt idx="46">
                  <c:v>0.3527777777777778</c:v>
                </c:pt>
                <c:pt idx="47">
                  <c:v>0.35486111111111113</c:v>
                </c:pt>
                <c:pt idx="48">
                  <c:v>0.35694444444444445</c:v>
                </c:pt>
                <c:pt idx="49">
                  <c:v>0.35902777777777778</c:v>
                </c:pt>
                <c:pt idx="50">
                  <c:v>0.36041666666666666</c:v>
                </c:pt>
                <c:pt idx="51">
                  <c:v>0.36249999999999999</c:v>
                </c:pt>
                <c:pt idx="52">
                  <c:v>0.36458333333333331</c:v>
                </c:pt>
                <c:pt idx="53">
                  <c:v>0.3666666666666667</c:v>
                </c:pt>
                <c:pt idx="54">
                  <c:v>0.36805555555555558</c:v>
                </c:pt>
                <c:pt idx="55">
                  <c:v>0.37013888888888885</c:v>
                </c:pt>
                <c:pt idx="56">
                  <c:v>0.37222222222222223</c:v>
                </c:pt>
                <c:pt idx="57">
                  <c:v>0.3743055555555555</c:v>
                </c:pt>
                <c:pt idx="58">
                  <c:v>0.3756944444444445</c:v>
                </c:pt>
                <c:pt idx="59">
                  <c:v>0.37777777777777777</c:v>
                </c:pt>
                <c:pt idx="60">
                  <c:v>0.37986111111111115</c:v>
                </c:pt>
                <c:pt idx="61">
                  <c:v>0.38194444444444442</c:v>
                </c:pt>
                <c:pt idx="62">
                  <c:v>0.3840277777777778</c:v>
                </c:pt>
                <c:pt idx="63">
                  <c:v>0.38541666666666669</c:v>
                </c:pt>
                <c:pt idx="64">
                  <c:v>0.38750000000000001</c:v>
                </c:pt>
                <c:pt idx="65">
                  <c:v>0.38958333333333334</c:v>
                </c:pt>
                <c:pt idx="66">
                  <c:v>0.39097222222222222</c:v>
                </c:pt>
                <c:pt idx="67">
                  <c:v>0.39305555555555555</c:v>
                </c:pt>
                <c:pt idx="68">
                  <c:v>0.39513888888888887</c:v>
                </c:pt>
                <c:pt idx="69">
                  <c:v>0.39652777777777781</c:v>
                </c:pt>
                <c:pt idx="70">
                  <c:v>0.39861111111111108</c:v>
                </c:pt>
                <c:pt idx="71">
                  <c:v>0.40069444444444446</c:v>
                </c:pt>
                <c:pt idx="72">
                  <c:v>0.40208333333333335</c:v>
                </c:pt>
                <c:pt idx="73">
                  <c:v>0.40486111111111112</c:v>
                </c:pt>
                <c:pt idx="74">
                  <c:v>0.40625</c:v>
                </c:pt>
                <c:pt idx="75">
                  <c:v>0.40833333333333338</c:v>
                </c:pt>
                <c:pt idx="76">
                  <c:v>0.41041666666666665</c:v>
                </c:pt>
                <c:pt idx="77">
                  <c:v>0.41250000000000003</c:v>
                </c:pt>
                <c:pt idx="78">
                  <c:v>0.4145833333333333</c:v>
                </c:pt>
                <c:pt idx="79">
                  <c:v>0.41597222222222219</c:v>
                </c:pt>
                <c:pt idx="80">
                  <c:v>0.41805555555555557</c:v>
                </c:pt>
                <c:pt idx="81">
                  <c:v>0.4201388888888889</c:v>
                </c:pt>
                <c:pt idx="82">
                  <c:v>0.42152777777777778</c:v>
                </c:pt>
                <c:pt idx="83">
                  <c:v>0.42430555555555555</c:v>
                </c:pt>
                <c:pt idx="84">
                  <c:v>0.42638888888888887</c:v>
                </c:pt>
                <c:pt idx="85">
                  <c:v>0.4284722222222222</c:v>
                </c:pt>
                <c:pt idx="86">
                  <c:v>0.43055555555555558</c:v>
                </c:pt>
                <c:pt idx="87">
                  <c:v>0.43333333333333335</c:v>
                </c:pt>
                <c:pt idx="88">
                  <c:v>0.43611111111111112</c:v>
                </c:pt>
                <c:pt idx="89">
                  <c:v>0.4381944444444445</c:v>
                </c:pt>
                <c:pt idx="90">
                  <c:v>0.44027777777777777</c:v>
                </c:pt>
                <c:pt idx="91">
                  <c:v>0.44305555555555554</c:v>
                </c:pt>
                <c:pt idx="92">
                  <c:v>0.44513888888888892</c:v>
                </c:pt>
                <c:pt idx="93">
                  <c:v>0.4465277777777778</c:v>
                </c:pt>
                <c:pt idx="94">
                  <c:v>0.44930555555555557</c:v>
                </c:pt>
                <c:pt idx="95">
                  <c:v>0.45277777777777778</c:v>
                </c:pt>
                <c:pt idx="96">
                  <c:v>0.45555555555555555</c:v>
                </c:pt>
                <c:pt idx="97">
                  <c:v>0.45833333333333331</c:v>
                </c:pt>
                <c:pt idx="98">
                  <c:v>0.46111111111111108</c:v>
                </c:pt>
                <c:pt idx="99">
                  <c:v>0.46458333333333335</c:v>
                </c:pt>
                <c:pt idx="100">
                  <c:v>0.46736111111111112</c:v>
                </c:pt>
                <c:pt idx="101">
                  <c:v>0.47013888888888888</c:v>
                </c:pt>
                <c:pt idx="102">
                  <c:v>0.47291666666666665</c:v>
                </c:pt>
                <c:pt idx="103">
                  <c:v>0.47569444444444442</c:v>
                </c:pt>
                <c:pt idx="104">
                  <c:v>0.47847222222222219</c:v>
                </c:pt>
                <c:pt idx="105">
                  <c:v>0.48125000000000001</c:v>
                </c:pt>
                <c:pt idx="106">
                  <c:v>0.48402777777777778</c:v>
                </c:pt>
                <c:pt idx="107">
                  <c:v>0.48749999999999999</c:v>
                </c:pt>
                <c:pt idx="108">
                  <c:v>0.49027777777777781</c:v>
                </c:pt>
                <c:pt idx="109">
                  <c:v>0.49374999999999997</c:v>
                </c:pt>
                <c:pt idx="110">
                  <c:v>0.49652777777777773</c:v>
                </c:pt>
                <c:pt idx="111">
                  <c:v>0.4993055555555555</c:v>
                </c:pt>
                <c:pt idx="112">
                  <c:v>0.50208333333333333</c:v>
                </c:pt>
                <c:pt idx="113">
                  <c:v>0.50486111111111109</c:v>
                </c:pt>
                <c:pt idx="114">
                  <c:v>0.5083333333333333</c:v>
                </c:pt>
                <c:pt idx="115">
                  <c:v>0.51111111111111118</c:v>
                </c:pt>
                <c:pt idx="116">
                  <c:v>0.51388888888888895</c:v>
                </c:pt>
                <c:pt idx="117">
                  <c:v>0.51666666666666672</c:v>
                </c:pt>
                <c:pt idx="118">
                  <c:v>0.51944444444444449</c:v>
                </c:pt>
                <c:pt idx="119">
                  <c:v>0.52222222222222225</c:v>
                </c:pt>
                <c:pt idx="120">
                  <c:v>0.52569444444444446</c:v>
                </c:pt>
                <c:pt idx="121">
                  <c:v>0.52847222222222223</c:v>
                </c:pt>
                <c:pt idx="122">
                  <c:v>0.53125</c:v>
                </c:pt>
                <c:pt idx="123">
                  <c:v>0.53402777777777777</c:v>
                </c:pt>
                <c:pt idx="124">
                  <c:v>0.53749999999999998</c:v>
                </c:pt>
                <c:pt idx="125">
                  <c:v>0.54097222222222219</c:v>
                </c:pt>
                <c:pt idx="126">
                  <c:v>0.54305555555555551</c:v>
                </c:pt>
                <c:pt idx="127">
                  <c:v>0.54583333333333328</c:v>
                </c:pt>
                <c:pt idx="128">
                  <c:v>0.54861111111111105</c:v>
                </c:pt>
                <c:pt idx="129">
                  <c:v>0.55208333333333337</c:v>
                </c:pt>
                <c:pt idx="130">
                  <c:v>0.55486111111111114</c:v>
                </c:pt>
                <c:pt idx="131">
                  <c:v>0.55763888888888891</c:v>
                </c:pt>
                <c:pt idx="132">
                  <c:v>0.56041666666666667</c:v>
                </c:pt>
                <c:pt idx="133">
                  <c:v>0.56319444444444444</c:v>
                </c:pt>
                <c:pt idx="134">
                  <c:v>0.56597222222222221</c:v>
                </c:pt>
                <c:pt idx="135">
                  <c:v>0.56944444444444442</c:v>
                </c:pt>
                <c:pt idx="136">
                  <c:v>0.57222222222222219</c:v>
                </c:pt>
                <c:pt idx="137">
                  <c:v>0.57500000000000007</c:v>
                </c:pt>
                <c:pt idx="138">
                  <c:v>0.57847222222222217</c:v>
                </c:pt>
                <c:pt idx="139">
                  <c:v>0.58124999999999993</c:v>
                </c:pt>
                <c:pt idx="140">
                  <c:v>0.58402777777777781</c:v>
                </c:pt>
                <c:pt idx="141">
                  <c:v>0.58680555555555558</c:v>
                </c:pt>
                <c:pt idx="142">
                  <c:v>0.58958333333333335</c:v>
                </c:pt>
                <c:pt idx="143">
                  <c:v>0.59236111111111112</c:v>
                </c:pt>
                <c:pt idx="144">
                  <c:v>0.59513888888888888</c:v>
                </c:pt>
                <c:pt idx="145">
                  <c:v>0.59791666666666665</c:v>
                </c:pt>
                <c:pt idx="146">
                  <c:v>0.60138888888888886</c:v>
                </c:pt>
                <c:pt idx="147">
                  <c:v>0.60416666666666663</c:v>
                </c:pt>
                <c:pt idx="148">
                  <c:v>0.6069444444444444</c:v>
                </c:pt>
                <c:pt idx="149">
                  <c:v>0.60972222222222217</c:v>
                </c:pt>
                <c:pt idx="150">
                  <c:v>0.61249999999999993</c:v>
                </c:pt>
                <c:pt idx="151">
                  <c:v>0.61527777777777781</c:v>
                </c:pt>
                <c:pt idx="152">
                  <c:v>0.61875000000000002</c:v>
                </c:pt>
                <c:pt idx="153">
                  <c:v>0.62222222222222223</c:v>
                </c:pt>
                <c:pt idx="154">
                  <c:v>0.625</c:v>
                </c:pt>
                <c:pt idx="155">
                  <c:v>0.62777777777777777</c:v>
                </c:pt>
                <c:pt idx="156">
                  <c:v>0.63055555555555554</c:v>
                </c:pt>
                <c:pt idx="157">
                  <c:v>0.6333333333333333</c:v>
                </c:pt>
                <c:pt idx="158">
                  <c:v>0.63611111111111118</c:v>
                </c:pt>
                <c:pt idx="159">
                  <c:v>0.63958333333333328</c:v>
                </c:pt>
                <c:pt idx="160">
                  <c:v>0.64236111111111105</c:v>
                </c:pt>
                <c:pt idx="161">
                  <c:v>0.64513888888888882</c:v>
                </c:pt>
                <c:pt idx="162">
                  <c:v>0.6479166666666667</c:v>
                </c:pt>
                <c:pt idx="163">
                  <c:v>0.65069444444444446</c:v>
                </c:pt>
                <c:pt idx="164">
                  <c:v>0.65347222222222223</c:v>
                </c:pt>
                <c:pt idx="165">
                  <c:v>0.65694444444444444</c:v>
                </c:pt>
                <c:pt idx="166">
                  <c:v>0.65972222222222221</c:v>
                </c:pt>
                <c:pt idx="167">
                  <c:v>0.66319444444444442</c:v>
                </c:pt>
                <c:pt idx="168">
                  <c:v>0.66597222222222219</c:v>
                </c:pt>
                <c:pt idx="169">
                  <c:v>0.66805555555555562</c:v>
                </c:pt>
                <c:pt idx="170">
                  <c:v>0.67013888888888884</c:v>
                </c:pt>
                <c:pt idx="171">
                  <c:v>0.67222222222222217</c:v>
                </c:pt>
                <c:pt idx="172">
                  <c:v>0.6743055555555556</c:v>
                </c:pt>
                <c:pt idx="173">
                  <c:v>0.67638888888888893</c:v>
                </c:pt>
                <c:pt idx="174">
                  <c:v>0.67847222222222225</c:v>
                </c:pt>
                <c:pt idx="175">
                  <c:v>0.68125000000000002</c:v>
                </c:pt>
                <c:pt idx="176">
                  <c:v>0.68333333333333324</c:v>
                </c:pt>
                <c:pt idx="177">
                  <c:v>0.68541666666666667</c:v>
                </c:pt>
                <c:pt idx="178">
                  <c:v>0.6875</c:v>
                </c:pt>
                <c:pt idx="179">
                  <c:v>0.69027777777777777</c:v>
                </c:pt>
                <c:pt idx="180">
                  <c:v>0.69236111111111109</c:v>
                </c:pt>
                <c:pt idx="181">
                  <c:v>0.69513888888888886</c:v>
                </c:pt>
                <c:pt idx="182">
                  <c:v>0.6972222222222223</c:v>
                </c:pt>
                <c:pt idx="183">
                  <c:v>0.69930555555555562</c:v>
                </c:pt>
                <c:pt idx="184">
                  <c:v>0.70208333333333339</c:v>
                </c:pt>
                <c:pt idx="185">
                  <c:v>0.70416666666666661</c:v>
                </c:pt>
                <c:pt idx="186">
                  <c:v>0.70624999999999993</c:v>
                </c:pt>
                <c:pt idx="187">
                  <c:v>0.70833333333333337</c:v>
                </c:pt>
                <c:pt idx="188">
                  <c:v>0.71111111111111114</c:v>
                </c:pt>
                <c:pt idx="189">
                  <c:v>0.71319444444444446</c:v>
                </c:pt>
                <c:pt idx="190">
                  <c:v>0.71527777777777779</c:v>
                </c:pt>
                <c:pt idx="191">
                  <c:v>0.71736111111111101</c:v>
                </c:pt>
                <c:pt idx="192">
                  <c:v>0.71944444444444444</c:v>
                </c:pt>
                <c:pt idx="193">
                  <c:v>0.72222222222222221</c:v>
                </c:pt>
                <c:pt idx="194">
                  <c:v>0.72430555555555554</c:v>
                </c:pt>
                <c:pt idx="195">
                  <c:v>0.72638888888888886</c:v>
                </c:pt>
                <c:pt idx="196">
                  <c:v>0.73055555555555562</c:v>
                </c:pt>
                <c:pt idx="197">
                  <c:v>0.73333333333333339</c:v>
                </c:pt>
                <c:pt idx="198">
                  <c:v>0.73541666666666661</c:v>
                </c:pt>
                <c:pt idx="199">
                  <c:v>0.73749999999999993</c:v>
                </c:pt>
                <c:pt idx="200">
                  <c:v>0.73958333333333337</c:v>
                </c:pt>
                <c:pt idx="201">
                  <c:v>0.74236111111111114</c:v>
                </c:pt>
                <c:pt idx="202">
                  <c:v>0.74444444444444446</c:v>
                </c:pt>
                <c:pt idx="203">
                  <c:v>0.74652777777777779</c:v>
                </c:pt>
                <c:pt idx="204">
                  <c:v>0.74861111111111101</c:v>
                </c:pt>
                <c:pt idx="205">
                  <c:v>0.75138888888888899</c:v>
                </c:pt>
                <c:pt idx="206">
                  <c:v>0.75347222222222221</c:v>
                </c:pt>
                <c:pt idx="207">
                  <c:v>0.75555555555555554</c:v>
                </c:pt>
                <c:pt idx="208">
                  <c:v>0.75763888888888886</c:v>
                </c:pt>
                <c:pt idx="209">
                  <c:v>0.76041666666666663</c:v>
                </c:pt>
                <c:pt idx="210">
                  <c:v>0.76250000000000007</c:v>
                </c:pt>
                <c:pt idx="211">
                  <c:v>0.76458333333333339</c:v>
                </c:pt>
                <c:pt idx="212">
                  <c:v>0.76736111111111116</c:v>
                </c:pt>
                <c:pt idx="213">
                  <c:v>0.76944444444444438</c:v>
                </c:pt>
                <c:pt idx="214">
                  <c:v>0.7715277777777777</c:v>
                </c:pt>
                <c:pt idx="215">
                  <c:v>0.77361111111111114</c:v>
                </c:pt>
                <c:pt idx="216">
                  <c:v>0.77569444444444446</c:v>
                </c:pt>
                <c:pt idx="217">
                  <c:v>0.77847222222222223</c:v>
                </c:pt>
                <c:pt idx="218">
                  <c:v>0.78055555555555556</c:v>
                </c:pt>
                <c:pt idx="219">
                  <c:v>0.78263888888888899</c:v>
                </c:pt>
                <c:pt idx="220">
                  <c:v>0.78472222222222221</c:v>
                </c:pt>
                <c:pt idx="221">
                  <c:v>0.78749999999999998</c:v>
                </c:pt>
                <c:pt idx="222">
                  <c:v>0.7895833333333333</c:v>
                </c:pt>
                <c:pt idx="223">
                  <c:v>0.79166666666666663</c:v>
                </c:pt>
                <c:pt idx="224">
                  <c:v>0.79375000000000007</c:v>
                </c:pt>
                <c:pt idx="225">
                  <c:v>0.79652777777777783</c:v>
                </c:pt>
                <c:pt idx="226">
                  <c:v>0.79861111111111116</c:v>
                </c:pt>
                <c:pt idx="227">
                  <c:v>0.80069444444444438</c:v>
                </c:pt>
                <c:pt idx="228">
                  <c:v>0.8027777777777777</c:v>
                </c:pt>
                <c:pt idx="229">
                  <c:v>0.80555555555555547</c:v>
                </c:pt>
                <c:pt idx="230">
                  <c:v>0.80763888888888891</c:v>
                </c:pt>
                <c:pt idx="231">
                  <c:v>0.80972222222222223</c:v>
                </c:pt>
                <c:pt idx="232">
                  <c:v>0.81180555555555556</c:v>
                </c:pt>
                <c:pt idx="233">
                  <c:v>0.81388888888888899</c:v>
                </c:pt>
                <c:pt idx="234">
                  <c:v>0.81666666666666676</c:v>
                </c:pt>
                <c:pt idx="235">
                  <c:v>0.81874999999999998</c:v>
                </c:pt>
                <c:pt idx="236">
                  <c:v>0.8208333333333333</c:v>
                </c:pt>
                <c:pt idx="237">
                  <c:v>0.82291666666666663</c:v>
                </c:pt>
                <c:pt idx="238">
                  <c:v>0.8256944444444444</c:v>
                </c:pt>
                <c:pt idx="239">
                  <c:v>0.82777777777777783</c:v>
                </c:pt>
                <c:pt idx="240">
                  <c:v>0.82986111111111116</c:v>
                </c:pt>
                <c:pt idx="241">
                  <c:v>0.83194444444444438</c:v>
                </c:pt>
                <c:pt idx="242">
                  <c:v>0.83472222222222225</c:v>
                </c:pt>
                <c:pt idx="243">
                  <c:v>0.83680555555555547</c:v>
                </c:pt>
                <c:pt idx="244">
                  <c:v>0.83888888888888891</c:v>
                </c:pt>
                <c:pt idx="245">
                  <c:v>0.84097222222222223</c:v>
                </c:pt>
                <c:pt idx="246">
                  <c:v>0.84375</c:v>
                </c:pt>
                <c:pt idx="247">
                  <c:v>0.84583333333333333</c:v>
                </c:pt>
                <c:pt idx="248">
                  <c:v>0.84791666666666676</c:v>
                </c:pt>
                <c:pt idx="249">
                  <c:v>0.85</c:v>
                </c:pt>
                <c:pt idx="250">
                  <c:v>0.85277777777777775</c:v>
                </c:pt>
                <c:pt idx="251">
                  <c:v>0.85486111111111107</c:v>
                </c:pt>
                <c:pt idx="252">
                  <c:v>0.8569444444444444</c:v>
                </c:pt>
                <c:pt idx="253">
                  <c:v>0.85972222222222217</c:v>
                </c:pt>
                <c:pt idx="254">
                  <c:v>0.8618055555555556</c:v>
                </c:pt>
                <c:pt idx="255">
                  <c:v>0.86388888888888893</c:v>
                </c:pt>
                <c:pt idx="256">
                  <c:v>0.86597222222222225</c:v>
                </c:pt>
                <c:pt idx="257">
                  <c:v>0.86805555555555547</c:v>
                </c:pt>
                <c:pt idx="258">
                  <c:v>0.87083333333333324</c:v>
                </c:pt>
                <c:pt idx="259">
                  <c:v>0.87291666666666667</c:v>
                </c:pt>
                <c:pt idx="260">
                  <c:v>0.875</c:v>
                </c:pt>
                <c:pt idx="261">
                  <c:v>0.87777777777777777</c:v>
                </c:pt>
                <c:pt idx="262">
                  <c:v>0.87986111111111109</c:v>
                </c:pt>
                <c:pt idx="263">
                  <c:v>0.88194444444444453</c:v>
                </c:pt>
                <c:pt idx="264">
                  <c:v>0.88402777777777775</c:v>
                </c:pt>
                <c:pt idx="265">
                  <c:v>0.88611111111111107</c:v>
                </c:pt>
                <c:pt idx="266">
                  <c:v>0.88888888888888884</c:v>
                </c:pt>
                <c:pt idx="267">
                  <c:v>0.89097222222222217</c:v>
                </c:pt>
                <c:pt idx="268">
                  <c:v>0.8930555555555556</c:v>
                </c:pt>
                <c:pt idx="269">
                  <c:v>0.89583333333333337</c:v>
                </c:pt>
                <c:pt idx="270">
                  <c:v>0.89722222222222225</c:v>
                </c:pt>
                <c:pt idx="271">
                  <c:v>0.9</c:v>
                </c:pt>
                <c:pt idx="272">
                  <c:v>0.90208333333333324</c:v>
                </c:pt>
                <c:pt idx="273">
                  <c:v>0.90486111111111101</c:v>
                </c:pt>
                <c:pt idx="274">
                  <c:v>0.90763888888888899</c:v>
                </c:pt>
                <c:pt idx="275">
                  <c:v>0.91041666666666676</c:v>
                </c:pt>
                <c:pt idx="276">
                  <c:v>0.91319444444444453</c:v>
                </c:pt>
                <c:pt idx="277">
                  <c:v>0.91527777777777775</c:v>
                </c:pt>
                <c:pt idx="278">
                  <c:v>0.91805555555555562</c:v>
                </c:pt>
                <c:pt idx="279">
                  <c:v>0.92083333333333339</c:v>
                </c:pt>
                <c:pt idx="280">
                  <c:v>0.92361111111111116</c:v>
                </c:pt>
                <c:pt idx="281">
                  <c:v>0.92708333333333337</c:v>
                </c:pt>
                <c:pt idx="282">
                  <c:v>0.9291666666666667</c:v>
                </c:pt>
                <c:pt idx="283">
                  <c:v>0.93125000000000002</c:v>
                </c:pt>
                <c:pt idx="284">
                  <c:v>0.93402777777777779</c:v>
                </c:pt>
                <c:pt idx="285">
                  <c:v>0.93611111111111101</c:v>
                </c:pt>
                <c:pt idx="286">
                  <c:v>0.93819444444444444</c:v>
                </c:pt>
                <c:pt idx="287">
                  <c:v>0.94166666666666676</c:v>
                </c:pt>
                <c:pt idx="288">
                  <c:v>0.94513888888888886</c:v>
                </c:pt>
                <c:pt idx="289">
                  <c:v>0.9472222222222223</c:v>
                </c:pt>
                <c:pt idx="290">
                  <c:v>0.95000000000000007</c:v>
                </c:pt>
                <c:pt idx="291">
                  <c:v>0.95277777777777783</c:v>
                </c:pt>
                <c:pt idx="292">
                  <c:v>0.9555555555555556</c:v>
                </c:pt>
                <c:pt idx="293">
                  <c:v>0.9590277777777777</c:v>
                </c:pt>
                <c:pt idx="294">
                  <c:v>0.96319444444444446</c:v>
                </c:pt>
                <c:pt idx="295">
                  <c:v>0.96597222222222223</c:v>
                </c:pt>
                <c:pt idx="296">
                  <c:v>0.96944444444444444</c:v>
                </c:pt>
                <c:pt idx="297">
                  <c:v>0.97291666666666676</c:v>
                </c:pt>
                <c:pt idx="298">
                  <c:v>0.9770833333333333</c:v>
                </c:pt>
                <c:pt idx="299">
                  <c:v>0.98055555555555562</c:v>
                </c:pt>
                <c:pt idx="300">
                  <c:v>0.98333333333333339</c:v>
                </c:pt>
                <c:pt idx="301">
                  <c:v>0.9868055555555556</c:v>
                </c:pt>
                <c:pt idx="302">
                  <c:v>0.9902777777777777</c:v>
                </c:pt>
                <c:pt idx="303">
                  <c:v>0.99375000000000002</c:v>
                </c:pt>
                <c:pt idx="304">
                  <c:v>0.99652777777777779</c:v>
                </c:pt>
                <c:pt idx="305">
                  <c:v>1.0006944444444443</c:v>
                </c:pt>
                <c:pt idx="306">
                  <c:v>1.0041666666666667</c:v>
                </c:pt>
                <c:pt idx="307">
                  <c:v>1.007638888888889</c:v>
                </c:pt>
                <c:pt idx="308">
                  <c:v>1.0111111111111111</c:v>
                </c:pt>
                <c:pt idx="309">
                  <c:v>1.0145833333333334</c:v>
                </c:pt>
                <c:pt idx="310">
                  <c:v>1.0180555555555555</c:v>
                </c:pt>
                <c:pt idx="311">
                  <c:v>1.0222222222222224</c:v>
                </c:pt>
                <c:pt idx="312">
                  <c:v>1.0326388888888889</c:v>
                </c:pt>
                <c:pt idx="313">
                  <c:v>1.0416666666666667</c:v>
                </c:pt>
              </c:numCache>
            </c:numRef>
          </c:xVal>
          <c:yVal>
            <c:numRef>
              <c:f>'山手線_池袋・上野方面(外回り)_平日'!$V$4:$V$316</c:f>
              <c:numCache>
                <c:formatCode>0.0_ </c:formatCode>
                <c:ptCount val="313"/>
                <c:pt idx="0">
                  <c:v>0.19456869009584654</c:v>
                </c:pt>
                <c:pt idx="1">
                  <c:v>0.22890434128923162</c:v>
                </c:pt>
                <c:pt idx="2">
                  <c:v>0.21618743343982894</c:v>
                </c:pt>
                <c:pt idx="3">
                  <c:v>0.38913738019169464</c:v>
                </c:pt>
                <c:pt idx="4">
                  <c:v>0.35376125471972114</c:v>
                </c:pt>
                <c:pt idx="5">
                  <c:v>0.48642172523961835</c:v>
                </c:pt>
                <c:pt idx="6">
                  <c:v>0.64856230031948248</c:v>
                </c:pt>
                <c:pt idx="7">
                  <c:v>0.64856230031949103</c:v>
                </c:pt>
                <c:pt idx="8">
                  <c:v>0.9728434504792367</c:v>
                </c:pt>
                <c:pt idx="9">
                  <c:v>0.48642172523961835</c:v>
                </c:pt>
                <c:pt idx="10">
                  <c:v>0.48642172523961835</c:v>
                </c:pt>
                <c:pt idx="11">
                  <c:v>1.2971246006389476</c:v>
                </c:pt>
                <c:pt idx="12">
                  <c:v>0.64856230031949103</c:v>
                </c:pt>
                <c:pt idx="13">
                  <c:v>0.64856230031949103</c:v>
                </c:pt>
                <c:pt idx="14">
                  <c:v>0.64856230031948248</c:v>
                </c:pt>
                <c:pt idx="15">
                  <c:v>0.77827476038338927</c:v>
                </c:pt>
                <c:pt idx="16">
                  <c:v>0.77827476038338927</c:v>
                </c:pt>
                <c:pt idx="17">
                  <c:v>1.2971246006389821</c:v>
                </c:pt>
                <c:pt idx="18">
                  <c:v>1.9456869009584734</c:v>
                </c:pt>
                <c:pt idx="19">
                  <c:v>1.2971246006389821</c:v>
                </c:pt>
                <c:pt idx="20">
                  <c:v>1.2971246006389821</c:v>
                </c:pt>
                <c:pt idx="21">
                  <c:v>1.2971246006389476</c:v>
                </c:pt>
                <c:pt idx="22">
                  <c:v>1.9456869009584734</c:v>
                </c:pt>
                <c:pt idx="23">
                  <c:v>1.2971246006389821</c:v>
                </c:pt>
                <c:pt idx="24">
                  <c:v>1.2971246006389821</c:v>
                </c:pt>
                <c:pt idx="25">
                  <c:v>1.2971246006389821</c:v>
                </c:pt>
                <c:pt idx="26">
                  <c:v>1.9456869009584734</c:v>
                </c:pt>
                <c:pt idx="27">
                  <c:v>1.2971246006389476</c:v>
                </c:pt>
                <c:pt idx="28">
                  <c:v>1.2971246006389821</c:v>
                </c:pt>
                <c:pt idx="29">
                  <c:v>1.2971246006389821</c:v>
                </c:pt>
                <c:pt idx="30">
                  <c:v>1.9456869009584734</c:v>
                </c:pt>
                <c:pt idx="31">
                  <c:v>1.2971246006389821</c:v>
                </c:pt>
                <c:pt idx="32">
                  <c:v>1.2971246006389821</c:v>
                </c:pt>
                <c:pt idx="33">
                  <c:v>1.2971246006389821</c:v>
                </c:pt>
                <c:pt idx="34">
                  <c:v>1.2971246006389821</c:v>
                </c:pt>
                <c:pt idx="35">
                  <c:v>1.9456869009583957</c:v>
                </c:pt>
                <c:pt idx="36">
                  <c:v>1.2971246006390167</c:v>
                </c:pt>
                <c:pt idx="37">
                  <c:v>1.2971246006389476</c:v>
                </c:pt>
                <c:pt idx="38">
                  <c:v>1.2971246006390167</c:v>
                </c:pt>
                <c:pt idx="39">
                  <c:v>1.9456869009584734</c:v>
                </c:pt>
                <c:pt idx="40">
                  <c:v>1.2971246006389476</c:v>
                </c:pt>
                <c:pt idx="41">
                  <c:v>1.2971246006389476</c:v>
                </c:pt>
                <c:pt idx="42">
                  <c:v>1.9456869009584734</c:v>
                </c:pt>
                <c:pt idx="43">
                  <c:v>1.2971246006390167</c:v>
                </c:pt>
                <c:pt idx="44">
                  <c:v>1.2971246006389476</c:v>
                </c:pt>
                <c:pt idx="45">
                  <c:v>1.9456869009584734</c:v>
                </c:pt>
                <c:pt idx="46">
                  <c:v>1.2971246006389821</c:v>
                </c:pt>
                <c:pt idx="47">
                  <c:v>1.2971246006389821</c:v>
                </c:pt>
                <c:pt idx="48">
                  <c:v>1.2971246006389821</c:v>
                </c:pt>
                <c:pt idx="49">
                  <c:v>1.9456869009584734</c:v>
                </c:pt>
                <c:pt idx="50">
                  <c:v>1.2971246006389821</c:v>
                </c:pt>
                <c:pt idx="51">
                  <c:v>1.2971246006389821</c:v>
                </c:pt>
                <c:pt idx="52">
                  <c:v>1.2971246006389476</c:v>
                </c:pt>
                <c:pt idx="53">
                  <c:v>1.9456869009584734</c:v>
                </c:pt>
                <c:pt idx="54">
                  <c:v>1.2971246006390167</c:v>
                </c:pt>
                <c:pt idx="55">
                  <c:v>1.2971246006389476</c:v>
                </c:pt>
                <c:pt idx="56">
                  <c:v>1.2971246006390167</c:v>
                </c:pt>
                <c:pt idx="57">
                  <c:v>1.945686900958318</c:v>
                </c:pt>
                <c:pt idx="58">
                  <c:v>1.2971246006390167</c:v>
                </c:pt>
                <c:pt idx="59">
                  <c:v>1.2971246006389476</c:v>
                </c:pt>
                <c:pt idx="60">
                  <c:v>1.2971246006390167</c:v>
                </c:pt>
                <c:pt idx="61">
                  <c:v>1.2971246006389476</c:v>
                </c:pt>
                <c:pt idx="62">
                  <c:v>1.9456869009584734</c:v>
                </c:pt>
                <c:pt idx="63">
                  <c:v>1.2971246006389821</c:v>
                </c:pt>
                <c:pt idx="64">
                  <c:v>1.2971246006389821</c:v>
                </c:pt>
                <c:pt idx="65">
                  <c:v>1.9456869009584734</c:v>
                </c:pt>
                <c:pt idx="66">
                  <c:v>1.2971246006389821</c:v>
                </c:pt>
                <c:pt idx="67">
                  <c:v>1.2971246006389821</c:v>
                </c:pt>
                <c:pt idx="68">
                  <c:v>1.9456869009583957</c:v>
                </c:pt>
                <c:pt idx="69">
                  <c:v>1.2971246006390167</c:v>
                </c:pt>
                <c:pt idx="70">
                  <c:v>1.2971246006389476</c:v>
                </c:pt>
                <c:pt idx="71">
                  <c:v>1.9456869009584734</c:v>
                </c:pt>
                <c:pt idx="72">
                  <c:v>0.9728434504792367</c:v>
                </c:pt>
                <c:pt idx="73">
                  <c:v>1.9456869009584734</c:v>
                </c:pt>
                <c:pt idx="74">
                  <c:v>1.2971246006389476</c:v>
                </c:pt>
                <c:pt idx="75">
                  <c:v>1.2971246006390167</c:v>
                </c:pt>
                <c:pt idx="76">
                  <c:v>1.2971246006389476</c:v>
                </c:pt>
                <c:pt idx="77">
                  <c:v>1.2971246006390167</c:v>
                </c:pt>
                <c:pt idx="78">
                  <c:v>1.9456869009584734</c:v>
                </c:pt>
                <c:pt idx="79">
                  <c:v>1.2971246006389476</c:v>
                </c:pt>
                <c:pt idx="80">
                  <c:v>1.2971246006389821</c:v>
                </c:pt>
                <c:pt idx="81">
                  <c:v>1.9456869009584734</c:v>
                </c:pt>
                <c:pt idx="82">
                  <c:v>0.9728434504792367</c:v>
                </c:pt>
                <c:pt idx="83">
                  <c:v>1.2971246006389821</c:v>
                </c:pt>
                <c:pt idx="84">
                  <c:v>1.2971246006389821</c:v>
                </c:pt>
                <c:pt idx="85">
                  <c:v>1.2971246006389476</c:v>
                </c:pt>
                <c:pt idx="86">
                  <c:v>0.9728434504792367</c:v>
                </c:pt>
                <c:pt idx="87">
                  <c:v>0.9728434504792367</c:v>
                </c:pt>
                <c:pt idx="88">
                  <c:v>1.2971246006389476</c:v>
                </c:pt>
                <c:pt idx="89">
                  <c:v>1.2971246006390167</c:v>
                </c:pt>
                <c:pt idx="90">
                  <c:v>0.9728434504792367</c:v>
                </c:pt>
                <c:pt idx="91">
                  <c:v>1.2971246006389476</c:v>
                </c:pt>
                <c:pt idx="92">
                  <c:v>1.9456869009584734</c:v>
                </c:pt>
                <c:pt idx="93">
                  <c:v>0.9728434504792367</c:v>
                </c:pt>
                <c:pt idx="94">
                  <c:v>0.77827476038338927</c:v>
                </c:pt>
                <c:pt idx="95">
                  <c:v>0.9728434504792367</c:v>
                </c:pt>
                <c:pt idx="96">
                  <c:v>0.9728434504792367</c:v>
                </c:pt>
                <c:pt idx="97">
                  <c:v>0.9728434504792367</c:v>
                </c:pt>
                <c:pt idx="98">
                  <c:v>0.77827476038337684</c:v>
                </c:pt>
                <c:pt idx="99">
                  <c:v>0.9728434504792367</c:v>
                </c:pt>
                <c:pt idx="100">
                  <c:v>0.9728434504792367</c:v>
                </c:pt>
                <c:pt idx="101">
                  <c:v>0.9728434504792367</c:v>
                </c:pt>
                <c:pt idx="102">
                  <c:v>0.9728434504792367</c:v>
                </c:pt>
                <c:pt idx="103">
                  <c:v>0.9728434504792367</c:v>
                </c:pt>
                <c:pt idx="104">
                  <c:v>0.97284345047921716</c:v>
                </c:pt>
                <c:pt idx="105">
                  <c:v>0.9728434504792367</c:v>
                </c:pt>
                <c:pt idx="106">
                  <c:v>0.77827476038338927</c:v>
                </c:pt>
                <c:pt idx="107">
                  <c:v>0.97284345047921716</c:v>
                </c:pt>
                <c:pt idx="108">
                  <c:v>0.77827476038340171</c:v>
                </c:pt>
                <c:pt idx="109">
                  <c:v>0.9728434504792367</c:v>
                </c:pt>
                <c:pt idx="110">
                  <c:v>0.9728434504792367</c:v>
                </c:pt>
                <c:pt idx="111">
                  <c:v>0.97284345047921716</c:v>
                </c:pt>
                <c:pt idx="112">
                  <c:v>0.9728434504792367</c:v>
                </c:pt>
                <c:pt idx="113">
                  <c:v>0.77827476038338927</c:v>
                </c:pt>
                <c:pt idx="114">
                  <c:v>0.97284345047919785</c:v>
                </c:pt>
                <c:pt idx="115">
                  <c:v>0.9728434504792367</c:v>
                </c:pt>
                <c:pt idx="116">
                  <c:v>0.9728434504792367</c:v>
                </c:pt>
                <c:pt idx="117">
                  <c:v>0.9728434504792367</c:v>
                </c:pt>
                <c:pt idx="118">
                  <c:v>0.9728434504792367</c:v>
                </c:pt>
                <c:pt idx="119">
                  <c:v>0.77827476038338927</c:v>
                </c:pt>
                <c:pt idx="120">
                  <c:v>0.9728434504792367</c:v>
                </c:pt>
                <c:pt idx="121">
                  <c:v>0.9728434504792367</c:v>
                </c:pt>
                <c:pt idx="122">
                  <c:v>0.9728434504792367</c:v>
                </c:pt>
                <c:pt idx="123">
                  <c:v>0.77827476038338927</c:v>
                </c:pt>
                <c:pt idx="124">
                  <c:v>0.77827476038338927</c:v>
                </c:pt>
                <c:pt idx="125">
                  <c:v>1.2971246006389821</c:v>
                </c:pt>
                <c:pt idx="126">
                  <c:v>0.9728434504792367</c:v>
                </c:pt>
                <c:pt idx="127">
                  <c:v>0.9728434504792367</c:v>
                </c:pt>
                <c:pt idx="128">
                  <c:v>0.77827476038336441</c:v>
                </c:pt>
                <c:pt idx="129">
                  <c:v>0.9728434504792367</c:v>
                </c:pt>
                <c:pt idx="130">
                  <c:v>0.9728434504792367</c:v>
                </c:pt>
                <c:pt idx="131">
                  <c:v>0.9728434504792367</c:v>
                </c:pt>
                <c:pt idx="132">
                  <c:v>0.9728434504792367</c:v>
                </c:pt>
                <c:pt idx="133">
                  <c:v>0.9728434504792367</c:v>
                </c:pt>
                <c:pt idx="134">
                  <c:v>0.77827476038338927</c:v>
                </c:pt>
                <c:pt idx="135">
                  <c:v>0.9728434504792367</c:v>
                </c:pt>
                <c:pt idx="136">
                  <c:v>0.97284345047919785</c:v>
                </c:pt>
                <c:pt idx="137">
                  <c:v>0.77827476038341414</c:v>
                </c:pt>
                <c:pt idx="138">
                  <c:v>0.9728434504792367</c:v>
                </c:pt>
                <c:pt idx="139">
                  <c:v>0.97284345047919785</c:v>
                </c:pt>
                <c:pt idx="140">
                  <c:v>0.9728434504792367</c:v>
                </c:pt>
                <c:pt idx="141">
                  <c:v>0.9728434504792367</c:v>
                </c:pt>
                <c:pt idx="142">
                  <c:v>0.9728434504792367</c:v>
                </c:pt>
                <c:pt idx="143">
                  <c:v>0.9728434504792367</c:v>
                </c:pt>
                <c:pt idx="144">
                  <c:v>0.9728434504792367</c:v>
                </c:pt>
                <c:pt idx="145">
                  <c:v>0.77827476038338927</c:v>
                </c:pt>
                <c:pt idx="146">
                  <c:v>0.9728434504792367</c:v>
                </c:pt>
                <c:pt idx="147">
                  <c:v>0.9728434504792367</c:v>
                </c:pt>
                <c:pt idx="148">
                  <c:v>0.9728434504792367</c:v>
                </c:pt>
                <c:pt idx="149">
                  <c:v>0.9728434504792367</c:v>
                </c:pt>
                <c:pt idx="150">
                  <c:v>0.97284345047919785</c:v>
                </c:pt>
                <c:pt idx="151">
                  <c:v>0.77827476038338927</c:v>
                </c:pt>
                <c:pt idx="152">
                  <c:v>0.77827476038338927</c:v>
                </c:pt>
                <c:pt idx="153">
                  <c:v>0.9728434504792367</c:v>
                </c:pt>
                <c:pt idx="154">
                  <c:v>0.9728434504792367</c:v>
                </c:pt>
                <c:pt idx="155">
                  <c:v>0.9728434504792367</c:v>
                </c:pt>
                <c:pt idx="156">
                  <c:v>0.9728434504792367</c:v>
                </c:pt>
                <c:pt idx="157">
                  <c:v>0.97284345047919785</c:v>
                </c:pt>
                <c:pt idx="158">
                  <c:v>0.77827476038341414</c:v>
                </c:pt>
                <c:pt idx="159">
                  <c:v>0.9728434504792367</c:v>
                </c:pt>
                <c:pt idx="160">
                  <c:v>0.9728434504792367</c:v>
                </c:pt>
                <c:pt idx="161">
                  <c:v>0.97284345047919785</c:v>
                </c:pt>
                <c:pt idx="162">
                  <c:v>0.9728434504792367</c:v>
                </c:pt>
                <c:pt idx="163">
                  <c:v>0.9728434504792367</c:v>
                </c:pt>
                <c:pt idx="164">
                  <c:v>0.77827476038338927</c:v>
                </c:pt>
                <c:pt idx="165">
                  <c:v>0.9728434504792367</c:v>
                </c:pt>
                <c:pt idx="166">
                  <c:v>0.77827476038338927</c:v>
                </c:pt>
                <c:pt idx="167">
                  <c:v>0.9728434504792367</c:v>
                </c:pt>
                <c:pt idx="168">
                  <c:v>1.297124600638913</c:v>
                </c:pt>
                <c:pt idx="169">
                  <c:v>1.2971246006390513</c:v>
                </c:pt>
                <c:pt idx="170">
                  <c:v>1.2971246006389821</c:v>
                </c:pt>
                <c:pt idx="171">
                  <c:v>1.297124600638913</c:v>
                </c:pt>
                <c:pt idx="172">
                  <c:v>1.2971246006389821</c:v>
                </c:pt>
                <c:pt idx="173">
                  <c:v>1.2971246006389821</c:v>
                </c:pt>
                <c:pt idx="174">
                  <c:v>0.9728434504792367</c:v>
                </c:pt>
                <c:pt idx="175">
                  <c:v>1.2971246006390513</c:v>
                </c:pt>
                <c:pt idx="176">
                  <c:v>1.297124600638913</c:v>
                </c:pt>
                <c:pt idx="177">
                  <c:v>1.2971246006389821</c:v>
                </c:pt>
                <c:pt idx="178">
                  <c:v>0.9728434504792367</c:v>
                </c:pt>
                <c:pt idx="179">
                  <c:v>1.2971246006389821</c:v>
                </c:pt>
                <c:pt idx="180">
                  <c:v>0.9728434504792367</c:v>
                </c:pt>
                <c:pt idx="181">
                  <c:v>1.297124600638913</c:v>
                </c:pt>
                <c:pt idx="182">
                  <c:v>1.2971246006389821</c:v>
                </c:pt>
                <c:pt idx="183">
                  <c:v>0.9728434504792367</c:v>
                </c:pt>
                <c:pt idx="184">
                  <c:v>1.2971246006390513</c:v>
                </c:pt>
                <c:pt idx="185">
                  <c:v>1.2971246006389821</c:v>
                </c:pt>
                <c:pt idx="186">
                  <c:v>1.297124600638913</c:v>
                </c:pt>
                <c:pt idx="187">
                  <c:v>0.9728434504792367</c:v>
                </c:pt>
                <c:pt idx="188">
                  <c:v>1.2971246006389821</c:v>
                </c:pt>
                <c:pt idx="189">
                  <c:v>1.2971246006389821</c:v>
                </c:pt>
                <c:pt idx="190">
                  <c:v>1.2971246006390513</c:v>
                </c:pt>
                <c:pt idx="191">
                  <c:v>1.297124600638913</c:v>
                </c:pt>
                <c:pt idx="192">
                  <c:v>0.9728434504792367</c:v>
                </c:pt>
                <c:pt idx="193">
                  <c:v>1.2971246006389821</c:v>
                </c:pt>
                <c:pt idx="194">
                  <c:v>1.2971246006389821</c:v>
                </c:pt>
                <c:pt idx="195">
                  <c:v>0.64856230031947382</c:v>
                </c:pt>
                <c:pt idx="196">
                  <c:v>0.9728434504792367</c:v>
                </c:pt>
                <c:pt idx="197">
                  <c:v>1.2971246006390513</c:v>
                </c:pt>
                <c:pt idx="198">
                  <c:v>1.2971246006389821</c:v>
                </c:pt>
                <c:pt idx="199">
                  <c:v>1.297124600638913</c:v>
                </c:pt>
                <c:pt idx="200">
                  <c:v>0.9728434504792367</c:v>
                </c:pt>
                <c:pt idx="201">
                  <c:v>1.2971246006389821</c:v>
                </c:pt>
                <c:pt idx="202">
                  <c:v>1.2971246006389821</c:v>
                </c:pt>
                <c:pt idx="203">
                  <c:v>1.2971246006390513</c:v>
                </c:pt>
                <c:pt idx="204">
                  <c:v>0.97284345047915899</c:v>
                </c:pt>
                <c:pt idx="205">
                  <c:v>1.2971246006390513</c:v>
                </c:pt>
                <c:pt idx="206">
                  <c:v>1.2971246006389821</c:v>
                </c:pt>
                <c:pt idx="207">
                  <c:v>1.2971246006389821</c:v>
                </c:pt>
                <c:pt idx="208">
                  <c:v>0.9728434504792367</c:v>
                </c:pt>
                <c:pt idx="209">
                  <c:v>1.297124600638913</c:v>
                </c:pt>
                <c:pt idx="210">
                  <c:v>1.2971246006389821</c:v>
                </c:pt>
                <c:pt idx="211">
                  <c:v>0.9728434504792367</c:v>
                </c:pt>
                <c:pt idx="212">
                  <c:v>1.2971246006390513</c:v>
                </c:pt>
                <c:pt idx="213">
                  <c:v>1.2971246006389821</c:v>
                </c:pt>
                <c:pt idx="214">
                  <c:v>1.297124600638913</c:v>
                </c:pt>
                <c:pt idx="215">
                  <c:v>1.2971246006389821</c:v>
                </c:pt>
                <c:pt idx="216">
                  <c:v>0.9728434504792367</c:v>
                </c:pt>
                <c:pt idx="217">
                  <c:v>1.2971246006389821</c:v>
                </c:pt>
                <c:pt idx="218">
                  <c:v>1.297124600638913</c:v>
                </c:pt>
                <c:pt idx="219">
                  <c:v>1.2971246006390513</c:v>
                </c:pt>
                <c:pt idx="220">
                  <c:v>0.9728434504792367</c:v>
                </c:pt>
                <c:pt idx="221">
                  <c:v>1.2971246006389821</c:v>
                </c:pt>
                <c:pt idx="222">
                  <c:v>1.2971246006389821</c:v>
                </c:pt>
                <c:pt idx="223">
                  <c:v>1.297124600638913</c:v>
                </c:pt>
                <c:pt idx="224">
                  <c:v>0.9728434504792367</c:v>
                </c:pt>
                <c:pt idx="225">
                  <c:v>1.2971246006389821</c:v>
                </c:pt>
                <c:pt idx="226">
                  <c:v>1.2971246006390513</c:v>
                </c:pt>
                <c:pt idx="227">
                  <c:v>1.2971246006389821</c:v>
                </c:pt>
                <c:pt idx="228">
                  <c:v>0.9728434504792367</c:v>
                </c:pt>
                <c:pt idx="229">
                  <c:v>1.297124600638913</c:v>
                </c:pt>
                <c:pt idx="230">
                  <c:v>1.2971246006389821</c:v>
                </c:pt>
                <c:pt idx="231">
                  <c:v>1.2971246006389821</c:v>
                </c:pt>
                <c:pt idx="232">
                  <c:v>1.297124600638913</c:v>
                </c:pt>
                <c:pt idx="233">
                  <c:v>0.9728434504792367</c:v>
                </c:pt>
                <c:pt idx="234">
                  <c:v>1.2971246006390513</c:v>
                </c:pt>
                <c:pt idx="235">
                  <c:v>1.2971246006389821</c:v>
                </c:pt>
                <c:pt idx="236">
                  <c:v>1.2971246006389821</c:v>
                </c:pt>
                <c:pt idx="237">
                  <c:v>0.9728434504792367</c:v>
                </c:pt>
                <c:pt idx="238">
                  <c:v>1.297124600638913</c:v>
                </c:pt>
                <c:pt idx="239">
                  <c:v>1.2971246006389821</c:v>
                </c:pt>
                <c:pt idx="240">
                  <c:v>1.2971246006390513</c:v>
                </c:pt>
                <c:pt idx="241">
                  <c:v>0.97284345047919785</c:v>
                </c:pt>
                <c:pt idx="242">
                  <c:v>1.2971246006390513</c:v>
                </c:pt>
                <c:pt idx="243">
                  <c:v>1.297124600638913</c:v>
                </c:pt>
                <c:pt idx="244">
                  <c:v>1.2971246006389821</c:v>
                </c:pt>
                <c:pt idx="245">
                  <c:v>0.9728434504792367</c:v>
                </c:pt>
                <c:pt idx="246">
                  <c:v>1.2971246006389821</c:v>
                </c:pt>
                <c:pt idx="247">
                  <c:v>1.297124600638913</c:v>
                </c:pt>
                <c:pt idx="248">
                  <c:v>1.2971246006390513</c:v>
                </c:pt>
                <c:pt idx="249">
                  <c:v>0.9728434504792367</c:v>
                </c:pt>
                <c:pt idx="250">
                  <c:v>1.2971246006389821</c:v>
                </c:pt>
                <c:pt idx="251">
                  <c:v>1.2971246006389821</c:v>
                </c:pt>
                <c:pt idx="252">
                  <c:v>0.9728434504792367</c:v>
                </c:pt>
                <c:pt idx="253">
                  <c:v>1.297124600638913</c:v>
                </c:pt>
                <c:pt idx="254">
                  <c:v>1.2971246006389821</c:v>
                </c:pt>
                <c:pt idx="255">
                  <c:v>1.2971246006389821</c:v>
                </c:pt>
                <c:pt idx="256">
                  <c:v>1.2971246006390513</c:v>
                </c:pt>
                <c:pt idx="257">
                  <c:v>0.9728434504792367</c:v>
                </c:pt>
                <c:pt idx="258">
                  <c:v>1.297124600638913</c:v>
                </c:pt>
                <c:pt idx="259">
                  <c:v>1.2971246006389821</c:v>
                </c:pt>
                <c:pt idx="260">
                  <c:v>0.9728434504792367</c:v>
                </c:pt>
                <c:pt idx="261">
                  <c:v>1.2971246006389821</c:v>
                </c:pt>
                <c:pt idx="262">
                  <c:v>1.297124600638913</c:v>
                </c:pt>
                <c:pt idx="263">
                  <c:v>1.2971246006390513</c:v>
                </c:pt>
                <c:pt idx="264">
                  <c:v>1.2971246006389821</c:v>
                </c:pt>
                <c:pt idx="265">
                  <c:v>0.9728434504792367</c:v>
                </c:pt>
                <c:pt idx="266">
                  <c:v>1.2971246006389821</c:v>
                </c:pt>
                <c:pt idx="267">
                  <c:v>1.297124600638913</c:v>
                </c:pt>
                <c:pt idx="268">
                  <c:v>0.9728434504792367</c:v>
                </c:pt>
                <c:pt idx="269">
                  <c:v>1.9456869009584734</c:v>
                </c:pt>
                <c:pt idx="270">
                  <c:v>0.9728434504792367</c:v>
                </c:pt>
                <c:pt idx="271">
                  <c:v>1.2971246006390513</c:v>
                </c:pt>
                <c:pt idx="272">
                  <c:v>0.9728434504792367</c:v>
                </c:pt>
                <c:pt idx="273">
                  <c:v>0.97284345047915899</c:v>
                </c:pt>
                <c:pt idx="274">
                  <c:v>0.9728434504792367</c:v>
                </c:pt>
                <c:pt idx="275">
                  <c:v>0.9728434504792367</c:v>
                </c:pt>
                <c:pt idx="276">
                  <c:v>1.2971246006390513</c:v>
                </c:pt>
                <c:pt idx="277">
                  <c:v>0.97284345047919785</c:v>
                </c:pt>
                <c:pt idx="278">
                  <c:v>0.9728434504792367</c:v>
                </c:pt>
                <c:pt idx="279">
                  <c:v>0.9728434504792367</c:v>
                </c:pt>
                <c:pt idx="280">
                  <c:v>0.77827476038338927</c:v>
                </c:pt>
                <c:pt idx="281">
                  <c:v>1.2971246006389821</c:v>
                </c:pt>
                <c:pt idx="282">
                  <c:v>1.2971246006389821</c:v>
                </c:pt>
                <c:pt idx="283">
                  <c:v>0.9728434504792367</c:v>
                </c:pt>
                <c:pt idx="284">
                  <c:v>1.2971246006390513</c:v>
                </c:pt>
                <c:pt idx="285">
                  <c:v>1.297124600638913</c:v>
                </c:pt>
                <c:pt idx="286">
                  <c:v>0.77827476038336441</c:v>
                </c:pt>
                <c:pt idx="287">
                  <c:v>0.77827476038341414</c:v>
                </c:pt>
                <c:pt idx="288">
                  <c:v>1.297124600638913</c:v>
                </c:pt>
                <c:pt idx="289">
                  <c:v>0.9728434504792367</c:v>
                </c:pt>
                <c:pt idx="290">
                  <c:v>0.9728434504792367</c:v>
                </c:pt>
                <c:pt idx="291">
                  <c:v>0.9728434504792367</c:v>
                </c:pt>
                <c:pt idx="292">
                  <c:v>0.77827476038341414</c:v>
                </c:pt>
                <c:pt idx="293">
                  <c:v>0.64856230031947382</c:v>
                </c:pt>
                <c:pt idx="294">
                  <c:v>0.9728434504792367</c:v>
                </c:pt>
                <c:pt idx="295">
                  <c:v>0.77827476038338927</c:v>
                </c:pt>
                <c:pt idx="296">
                  <c:v>0.77827476038336441</c:v>
                </c:pt>
                <c:pt idx="297">
                  <c:v>0.64856230031950834</c:v>
                </c:pt>
                <c:pt idx="298">
                  <c:v>0.77827476038336441</c:v>
                </c:pt>
                <c:pt idx="299">
                  <c:v>0.9728434504792367</c:v>
                </c:pt>
                <c:pt idx="300">
                  <c:v>0.77827476038338927</c:v>
                </c:pt>
                <c:pt idx="301">
                  <c:v>0.77827476038341414</c:v>
                </c:pt>
                <c:pt idx="302">
                  <c:v>0.77827476038336441</c:v>
                </c:pt>
                <c:pt idx="303">
                  <c:v>0.9728434504792367</c:v>
                </c:pt>
                <c:pt idx="304">
                  <c:v>0.64856230031950834</c:v>
                </c:pt>
                <c:pt idx="305">
                  <c:v>0.77827476038336441</c:v>
                </c:pt>
                <c:pt idx="306">
                  <c:v>0.77827476038336441</c:v>
                </c:pt>
                <c:pt idx="307">
                  <c:v>0.77827476038341414</c:v>
                </c:pt>
                <c:pt idx="308">
                  <c:v>0.77827476038336441</c:v>
                </c:pt>
                <c:pt idx="309">
                  <c:v>0.77827476038341414</c:v>
                </c:pt>
                <c:pt idx="310">
                  <c:v>0.6485623003194565</c:v>
                </c:pt>
                <c:pt idx="311">
                  <c:v>0.25942492012779922</c:v>
                </c:pt>
                <c:pt idx="312">
                  <c:v>0.29933644630129991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0-413D-909A-23479589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13600"/>
        <c:axId val="367314384"/>
      </c:scatterChart>
      <c:valAx>
        <c:axId val="367313600"/>
        <c:scaling>
          <c:orientation val="minMax"/>
          <c:max val="1.0416699999999999"/>
          <c:min val="0.20972200000000002"/>
        </c:scaling>
        <c:delete val="0"/>
        <c:axPos val="b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7314384"/>
        <c:crosses val="autoZero"/>
        <c:crossBetween val="midCat"/>
        <c:majorUnit val="8.0000000000000016E-2"/>
        <c:minorUnit val="4.0000000000000008E-2"/>
      </c:valAx>
      <c:valAx>
        <c:axId val="36731438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731360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7F598612-CEB6-4C64-BE8D-79A8EAABC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18</xdr:col>
      <xdr:colOff>457200</xdr:colOff>
      <xdr:row>34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xmlns="" id="{E78E2F2E-C4BD-47C1-BFA5-AA919CF19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xmlns="" id="{761D0F5C-C5F6-400A-8FF8-54EB2BD67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67767361111" createdVersion="6" refreshedVersion="6" minRefreshableVersion="3" recordCount="322">
  <cacheSource type="worksheet">
    <worksheetSource name="中央線快速_八王子・大月方面_平日[路線(Line)]"/>
  </cacheSource>
  <cacheFields count="1">
    <cacheField name="路線(Line)" numFmtId="0">
      <sharedItems count="3">
        <s v="中央線(快速)"/>
        <s v="中央本線(特急)"/>
        <s v="成田エクスプレス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68313657405" createdVersion="6" refreshedVersion="6" minRefreshableVersion="3" recordCount="322">
  <cacheSource type="worksheet">
    <worksheetSource name="中央線快速_八王子・大月方面_平日[種別(Type)]"/>
  </cacheSource>
  <cacheFields count="1">
    <cacheField name="種別(Type)" numFmtId="0">
      <sharedItems count="6">
        <s v="快速"/>
        <s v="中央特快"/>
        <s v="特急"/>
        <s v="青梅特快"/>
        <s v="通勤快速"/>
        <s v="ライナー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71957986108" createdVersion="6" refreshedVersion="6" minRefreshableVersion="3" recordCount="322">
  <cacheSource type="worksheet">
    <worksheetSource name="中央線快速_八王子・大月方面_平日[行先(For)]"/>
  </cacheSource>
  <cacheFields count="1">
    <cacheField name="行先(For)" numFmtId="0">
      <sharedItems count="15">
        <s v="高尾"/>
        <s v="青梅"/>
        <s v="松本"/>
        <s v="立川"/>
        <s v="南小谷"/>
        <s v="武蔵小金井"/>
        <s v="豊田"/>
        <s v="八王子"/>
        <s v="大月"/>
        <s v="甲府"/>
        <s v="箱根ケ崎"/>
        <s v="河口湖"/>
        <s v="竜王"/>
        <s v="高麗川"/>
        <s v="国分寺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73618055558" createdVersion="6" refreshedVersion="6" minRefreshableVersion="3" recordCount="322">
  <cacheSource type="worksheet">
    <worksheetSource name="中央線快速_八王子・大月方面_平日"/>
  </cacheSource>
  <cacheFields count="7">
    <cacheField name="路線(Line)" numFmtId="0">
      <sharedItems count="3">
        <s v="中央線(快速)"/>
        <s v="中央本線(特急)"/>
        <s v="成田エクスプレス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21:00" maxDate="1899-12-31T00:16:00"/>
    </cacheField>
    <cacheField name="行先(For)" numFmtId="0">
      <sharedItems/>
    </cacheField>
    <cacheField name="のりば(Track)" numFmtId="0">
      <sharedItems containsNonDate="0" containsString="0" containsBlank="1"/>
    </cacheField>
    <cacheField name="始発(Dep.)" numFmtId="0">
      <sharedItems containsBlank="1" count="2">
        <m/>
        <s v="始発"/>
      </sharedItems>
    </cacheField>
    <cacheField name="停車駅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195034722" createdVersion="6" refreshedVersion="6" minRefreshableVersion="3" recordCount="287">
  <cacheSource type="worksheet">
    <worksheetSource name="中央線快速_東京方面_平日[種別(Type)]"/>
  </cacheSource>
  <cacheFields count="1">
    <cacheField name="種別(Type)" numFmtId="0">
      <sharedItems count="5">
        <s v="快速"/>
        <s v="中央特快"/>
        <s v="通勤特快"/>
        <s v="特急"/>
        <s v="青梅特快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3140277781" createdVersion="6" refreshedVersion="6" minRefreshableVersion="3" recordCount="287">
  <cacheSource type="worksheet">
    <worksheetSource name="中央線快速_東京方面_平日[行先(For)]"/>
  </cacheSource>
  <cacheFields count="1">
    <cacheField name="行先(For)" numFmtId="0">
      <sharedItems count="2">
        <s v="東京"/>
        <s v="千葉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4022337961" createdVersion="6" refreshedVersion="6" minRefreshableVersion="3" recordCount="287">
  <cacheSource type="worksheet">
    <worksheetSource name="中央線快速_東京方面_平日"/>
  </cacheSource>
  <cacheFields count="7">
    <cacheField name="路線(Line)" numFmtId="0">
      <sharedItems count="2">
        <s v="中央線(快速)"/>
        <s v="中央本線(特急)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05:00" maxDate="1899-12-30T23:47:00"/>
    </cacheField>
    <cacheField name="行先(For)" numFmtId="0">
      <sharedItems count="2">
        <s v="東京"/>
        <s v="千葉"/>
      </sharedItems>
    </cacheField>
    <cacheField name="のりば(Track)" numFmtId="0">
      <sharedItems containsSemiMixedTypes="0" containsString="0" containsNumber="1" containsInteger="1" minValue="7" maxValue="10" count="3">
        <n v="8"/>
        <n v="7"/>
        <n v="10"/>
      </sharedItems>
    </cacheField>
    <cacheField name="始発(Dep.)" numFmtId="0">
      <sharedItems containsBlank="1"/>
    </cacheField>
    <cacheField name="停車駅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ぺぽらポッド" refreshedDate="42988.551499421294" createdVersion="6" refreshedVersion="5" minRefreshableVersion="3" recordCount="287">
  <cacheSource type="worksheet">
    <worksheetSource name="中央線快速_東京方面_平日[路線(Line)]"/>
  </cacheSource>
  <cacheFields count="1">
    <cacheField name="路線(Line)" numFmtId="0">
      <sharedItems count="2">
        <s v="中央線(快速)"/>
        <s v="中央本線(特急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2">
  <r>
    <x v="0"/>
  </r>
  <r>
    <x v="1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3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0"/>
  </r>
  <r>
    <x v="1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1"/>
  </r>
  <r>
    <x v="0"/>
  </r>
  <r>
    <x v="2"/>
  </r>
  <r>
    <x v="0"/>
  </r>
  <r>
    <x v="1"/>
  </r>
  <r>
    <x v="0"/>
  </r>
  <r>
    <x v="0"/>
  </r>
  <r>
    <x v="1"/>
  </r>
  <r>
    <x v="0"/>
  </r>
  <r>
    <x v="0"/>
  </r>
  <r>
    <x v="2"/>
  </r>
  <r>
    <x v="0"/>
  </r>
  <r>
    <x v="0"/>
  </r>
  <r>
    <x v="1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4"/>
  </r>
  <r>
    <x v="0"/>
  </r>
  <r>
    <x v="0"/>
  </r>
  <r>
    <x v="2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5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5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4"/>
  </r>
  <r>
    <x v="0"/>
  </r>
  <r>
    <x v="2"/>
  </r>
  <r>
    <x v="0"/>
  </r>
  <r>
    <x v="4"/>
  </r>
  <r>
    <x v="0"/>
  </r>
  <r>
    <x v="0"/>
  </r>
  <r>
    <x v="5"/>
  </r>
  <r>
    <x v="0"/>
  </r>
  <r>
    <x v="2"/>
  </r>
  <r>
    <x v="0"/>
  </r>
  <r>
    <x v="4"/>
  </r>
  <r>
    <x v="0"/>
  </r>
  <r>
    <x v="0"/>
  </r>
  <r>
    <x v="4"/>
  </r>
  <r>
    <x v="0"/>
  </r>
  <r>
    <x v="5"/>
  </r>
  <r>
    <x v="0"/>
  </r>
  <r>
    <x v="4"/>
  </r>
  <r>
    <x v="0"/>
  </r>
  <r>
    <x v="0"/>
  </r>
  <r>
    <x v="2"/>
  </r>
  <r>
    <x v="0"/>
  </r>
  <r>
    <x v="4"/>
  </r>
  <r>
    <x v="0"/>
  </r>
  <r>
    <x v="2"/>
  </r>
  <r>
    <x v="0"/>
  </r>
  <r>
    <x v="1"/>
  </r>
  <r>
    <x v="0"/>
  </r>
  <r>
    <x v="0"/>
  </r>
  <r>
    <x v="1"/>
  </r>
  <r>
    <x v="0"/>
  </r>
  <r>
    <x v="0"/>
  </r>
  <r>
    <x v="5"/>
  </r>
  <r>
    <x v="0"/>
  </r>
  <r>
    <x v="1"/>
  </r>
  <r>
    <x v="0"/>
  </r>
  <r>
    <x v="2"/>
  </r>
  <r>
    <x v="0"/>
  </r>
  <r>
    <x v="1"/>
  </r>
  <r>
    <x v="0"/>
  </r>
  <r>
    <x v="5"/>
  </r>
  <r>
    <x v="0"/>
  </r>
  <r>
    <x v="0"/>
  </r>
  <r>
    <x v="1"/>
  </r>
  <r>
    <x v="0"/>
  </r>
  <r>
    <x v="0"/>
  </r>
  <r>
    <x v="1"/>
  </r>
  <r>
    <x v="0"/>
  </r>
  <r>
    <x v="0"/>
  </r>
  <r>
    <x v="1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1"/>
  </r>
  <r>
    <x v="2"/>
  </r>
  <r>
    <x v="0"/>
  </r>
  <r>
    <x v="0"/>
  </r>
  <r>
    <x v="0"/>
  </r>
  <r>
    <x v="3"/>
  </r>
  <r>
    <x v="0"/>
  </r>
  <r>
    <x v="4"/>
  </r>
  <r>
    <x v="0"/>
  </r>
  <r>
    <x v="5"/>
  </r>
  <r>
    <x v="0"/>
  </r>
  <r>
    <x v="0"/>
  </r>
  <r>
    <x v="5"/>
  </r>
  <r>
    <x v="1"/>
  </r>
  <r>
    <x v="0"/>
  </r>
  <r>
    <x v="0"/>
  </r>
  <r>
    <x v="2"/>
  </r>
  <r>
    <x v="1"/>
  </r>
  <r>
    <x v="5"/>
  </r>
  <r>
    <x v="0"/>
  </r>
  <r>
    <x v="5"/>
  </r>
  <r>
    <x v="0"/>
  </r>
  <r>
    <x v="6"/>
  </r>
  <r>
    <x v="6"/>
  </r>
  <r>
    <x v="0"/>
  </r>
  <r>
    <x v="1"/>
  </r>
  <r>
    <x v="5"/>
  </r>
  <r>
    <x v="0"/>
  </r>
  <r>
    <x v="3"/>
  </r>
  <r>
    <x v="6"/>
  </r>
  <r>
    <x v="2"/>
  </r>
  <r>
    <x v="0"/>
  </r>
  <r>
    <x v="5"/>
  </r>
  <r>
    <x v="6"/>
  </r>
  <r>
    <x v="0"/>
  </r>
  <r>
    <x v="6"/>
  </r>
  <r>
    <x v="7"/>
  </r>
  <r>
    <x v="6"/>
  </r>
  <r>
    <x v="0"/>
  </r>
  <r>
    <x v="1"/>
  </r>
  <r>
    <x v="5"/>
  </r>
  <r>
    <x v="3"/>
  </r>
  <r>
    <x v="6"/>
  </r>
  <r>
    <x v="5"/>
  </r>
  <r>
    <x v="0"/>
  </r>
  <r>
    <x v="2"/>
  </r>
  <r>
    <x v="6"/>
  </r>
  <r>
    <x v="0"/>
  </r>
  <r>
    <x v="6"/>
  </r>
  <r>
    <x v="5"/>
  </r>
  <r>
    <x v="7"/>
  </r>
  <r>
    <x v="0"/>
  </r>
  <r>
    <x v="5"/>
  </r>
  <r>
    <x v="1"/>
  </r>
  <r>
    <x v="5"/>
  </r>
  <r>
    <x v="8"/>
  </r>
  <r>
    <x v="7"/>
  </r>
  <r>
    <x v="6"/>
  </r>
  <r>
    <x v="0"/>
  </r>
  <r>
    <x v="6"/>
  </r>
  <r>
    <x v="5"/>
  </r>
  <r>
    <x v="1"/>
  </r>
  <r>
    <x v="6"/>
  </r>
  <r>
    <x v="5"/>
  </r>
  <r>
    <x v="0"/>
  </r>
  <r>
    <x v="0"/>
  </r>
  <r>
    <x v="5"/>
  </r>
  <r>
    <x v="1"/>
  </r>
  <r>
    <x v="0"/>
  </r>
  <r>
    <x v="2"/>
  </r>
  <r>
    <x v="3"/>
  </r>
  <r>
    <x v="0"/>
  </r>
  <r>
    <x v="1"/>
  </r>
  <r>
    <x v="3"/>
  </r>
  <r>
    <x v="7"/>
  </r>
  <r>
    <x v="0"/>
  </r>
  <r>
    <x v="0"/>
  </r>
  <r>
    <x v="7"/>
  </r>
  <r>
    <x v="6"/>
  </r>
  <r>
    <x v="1"/>
  </r>
  <r>
    <x v="1"/>
  </r>
  <r>
    <x v="0"/>
  </r>
  <r>
    <x v="0"/>
  </r>
  <r>
    <x v="7"/>
  </r>
  <r>
    <x v="0"/>
  </r>
  <r>
    <x v="2"/>
  </r>
  <r>
    <x v="1"/>
  </r>
  <r>
    <x v="0"/>
  </r>
  <r>
    <x v="7"/>
  </r>
  <r>
    <x v="3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7"/>
  </r>
  <r>
    <x v="2"/>
  </r>
  <r>
    <x v="1"/>
  </r>
  <r>
    <x v="6"/>
  </r>
  <r>
    <x v="0"/>
  </r>
  <r>
    <x v="7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0"/>
  </r>
  <r>
    <x v="2"/>
  </r>
  <r>
    <x v="1"/>
  </r>
  <r>
    <x v="0"/>
  </r>
  <r>
    <x v="6"/>
  </r>
  <r>
    <x v="3"/>
  </r>
  <r>
    <x v="7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3"/>
  </r>
  <r>
    <x v="7"/>
  </r>
  <r>
    <x v="3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7"/>
  </r>
  <r>
    <x v="3"/>
  </r>
  <r>
    <x v="0"/>
  </r>
  <r>
    <x v="0"/>
  </r>
  <r>
    <x v="1"/>
  </r>
  <r>
    <x v="9"/>
  </r>
  <r>
    <x v="3"/>
  </r>
  <r>
    <x v="0"/>
  </r>
  <r>
    <x v="0"/>
  </r>
  <r>
    <x v="0"/>
  </r>
  <r>
    <x v="1"/>
  </r>
  <r>
    <x v="0"/>
  </r>
  <r>
    <x v="6"/>
  </r>
  <r>
    <x v="2"/>
  </r>
  <r>
    <x v="0"/>
  </r>
  <r>
    <x v="0"/>
  </r>
  <r>
    <x v="0"/>
  </r>
  <r>
    <x v="3"/>
  </r>
  <r>
    <x v="0"/>
  </r>
  <r>
    <x v="0"/>
  </r>
  <r>
    <x v="6"/>
  </r>
  <r>
    <x v="9"/>
  </r>
  <r>
    <x v="1"/>
  </r>
  <r>
    <x v="0"/>
  </r>
  <r>
    <x v="0"/>
  </r>
  <r>
    <x v="0"/>
  </r>
  <r>
    <x v="1"/>
  </r>
  <r>
    <x v="7"/>
  </r>
  <r>
    <x v="3"/>
  </r>
  <r>
    <x v="8"/>
  </r>
  <r>
    <x v="2"/>
  </r>
  <r>
    <x v="0"/>
  </r>
  <r>
    <x v="0"/>
  </r>
  <r>
    <x v="1"/>
  </r>
  <r>
    <x v="3"/>
  </r>
  <r>
    <x v="7"/>
  </r>
  <r>
    <x v="0"/>
  </r>
  <r>
    <x v="0"/>
  </r>
  <r>
    <x v="0"/>
  </r>
  <r>
    <x v="6"/>
  </r>
  <r>
    <x v="2"/>
  </r>
  <r>
    <x v="5"/>
  </r>
  <r>
    <x v="1"/>
  </r>
  <r>
    <x v="1"/>
  </r>
  <r>
    <x v="0"/>
  </r>
  <r>
    <x v="3"/>
  </r>
  <r>
    <x v="0"/>
  </r>
  <r>
    <x v="5"/>
  </r>
  <r>
    <x v="0"/>
  </r>
  <r>
    <x v="0"/>
  </r>
  <r>
    <x v="1"/>
  </r>
  <r>
    <x v="8"/>
  </r>
  <r>
    <x v="5"/>
  </r>
  <r>
    <x v="0"/>
  </r>
  <r>
    <x v="0"/>
  </r>
  <r>
    <x v="5"/>
  </r>
  <r>
    <x v="10"/>
  </r>
  <r>
    <x v="1"/>
  </r>
  <r>
    <x v="6"/>
  </r>
  <r>
    <x v="0"/>
  </r>
  <r>
    <x v="11"/>
  </r>
  <r>
    <x v="5"/>
  </r>
  <r>
    <x v="1"/>
  </r>
  <r>
    <x v="12"/>
  </r>
  <r>
    <x v="7"/>
  </r>
  <r>
    <x v="6"/>
  </r>
  <r>
    <x v="0"/>
  </r>
  <r>
    <x v="1"/>
  </r>
  <r>
    <x v="6"/>
  </r>
  <r>
    <x v="0"/>
  </r>
  <r>
    <x v="3"/>
  </r>
  <r>
    <x v="0"/>
  </r>
  <r>
    <x v="0"/>
  </r>
  <r>
    <x v="1"/>
  </r>
  <r>
    <x v="2"/>
  </r>
  <r>
    <x v="1"/>
  </r>
  <r>
    <x v="0"/>
  </r>
  <r>
    <x v="8"/>
  </r>
  <r>
    <x v="0"/>
  </r>
  <r>
    <x v="0"/>
  </r>
  <r>
    <x v="1"/>
  </r>
  <r>
    <x v="0"/>
  </r>
  <r>
    <x v="1"/>
  </r>
  <r>
    <x v="11"/>
  </r>
  <r>
    <x v="5"/>
  </r>
  <r>
    <x v="13"/>
  </r>
  <r>
    <x v="12"/>
  </r>
  <r>
    <x v="3"/>
  </r>
  <r>
    <x v="6"/>
  </r>
  <r>
    <x v="0"/>
  </r>
  <r>
    <x v="0"/>
  </r>
  <r>
    <x v="3"/>
  </r>
  <r>
    <x v="8"/>
  </r>
  <r>
    <x v="0"/>
  </r>
  <r>
    <x v="1"/>
  </r>
  <r>
    <x v="2"/>
  </r>
  <r>
    <x v="8"/>
  </r>
  <r>
    <x v="6"/>
  </r>
  <r>
    <x v="0"/>
  </r>
  <r>
    <x v="0"/>
  </r>
  <r>
    <x v="1"/>
  </r>
  <r>
    <x v="1"/>
  </r>
  <r>
    <x v="0"/>
  </r>
  <r>
    <x v="0"/>
  </r>
  <r>
    <x v="0"/>
  </r>
  <r>
    <x v="6"/>
  </r>
  <r>
    <x v="6"/>
  </r>
  <r>
    <x v="1"/>
  </r>
  <r>
    <x v="0"/>
  </r>
  <r>
    <x v="5"/>
  </r>
  <r>
    <x v="0"/>
  </r>
  <r>
    <x v="7"/>
  </r>
  <r>
    <x v="0"/>
  </r>
  <r>
    <x v="1"/>
  </r>
  <r>
    <x v="2"/>
  </r>
  <r>
    <x v="7"/>
  </r>
  <r>
    <x v="0"/>
  </r>
  <r>
    <x v="0"/>
  </r>
  <r>
    <x v="6"/>
  </r>
  <r>
    <x v="0"/>
  </r>
  <r>
    <x v="6"/>
  </r>
  <r>
    <x v="0"/>
  </r>
  <r>
    <x v="1"/>
  </r>
  <r>
    <x v="0"/>
  </r>
  <r>
    <x v="0"/>
  </r>
  <r>
    <x v="3"/>
  </r>
  <r>
    <x v="0"/>
  </r>
  <r>
    <x v="1"/>
  </r>
  <r>
    <x v="1"/>
  </r>
  <r>
    <x v="6"/>
  </r>
  <r>
    <x v="0"/>
  </r>
  <r>
    <x v="0"/>
  </r>
  <r>
    <x v="6"/>
  </r>
  <r>
    <x v="9"/>
  </r>
  <r>
    <x v="3"/>
  </r>
  <r>
    <x v="0"/>
  </r>
  <r>
    <x v="0"/>
  </r>
  <r>
    <x v="0"/>
  </r>
  <r>
    <x v="1"/>
  </r>
  <r>
    <x v="0"/>
  </r>
  <r>
    <x v="3"/>
  </r>
  <r>
    <x v="0"/>
  </r>
  <r>
    <x v="0"/>
  </r>
  <r>
    <x v="1"/>
  </r>
  <r>
    <x v="3"/>
  </r>
  <r>
    <x v="7"/>
  </r>
  <r>
    <x v="0"/>
  </r>
  <r>
    <x v="0"/>
  </r>
  <r>
    <x v="6"/>
  </r>
  <r>
    <x v="9"/>
  </r>
  <r>
    <x v="0"/>
  </r>
  <r>
    <x v="0"/>
  </r>
  <r>
    <x v="0"/>
  </r>
  <r>
    <x v="0"/>
  </r>
  <r>
    <x v="6"/>
  </r>
  <r>
    <x v="0"/>
  </r>
  <r>
    <x v="0"/>
  </r>
  <r>
    <x v="6"/>
  </r>
  <r>
    <x v="0"/>
  </r>
  <r>
    <x v="8"/>
  </r>
  <r>
    <x v="6"/>
  </r>
  <r>
    <x v="14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22">
  <r>
    <x v="0"/>
    <s v="快速"/>
    <d v="1899-12-30T06:21:00"/>
    <s v="高尾"/>
    <m/>
    <x v="0"/>
    <m/>
  </r>
  <r>
    <x v="0"/>
    <s v="中央特快"/>
    <d v="1899-12-30T06:26:00"/>
    <s v="高尾"/>
    <m/>
    <x v="0"/>
    <m/>
  </r>
  <r>
    <x v="0"/>
    <s v="快速"/>
    <d v="1899-12-30T06:31:00"/>
    <s v="高尾"/>
    <m/>
    <x v="0"/>
    <m/>
  </r>
  <r>
    <x v="0"/>
    <s v="快速"/>
    <d v="1899-12-30T06:37:00"/>
    <s v="高尾"/>
    <m/>
    <x v="0"/>
    <m/>
  </r>
  <r>
    <x v="0"/>
    <s v="快速"/>
    <d v="1899-12-30T06:42:00"/>
    <s v="高尾"/>
    <m/>
    <x v="0"/>
    <m/>
  </r>
  <r>
    <x v="0"/>
    <s v="中央特快"/>
    <d v="1899-12-30T06:48:00"/>
    <s v="高尾"/>
    <m/>
    <x v="0"/>
    <m/>
  </r>
  <r>
    <x v="0"/>
    <s v="快速"/>
    <d v="1899-12-30T06:52:00"/>
    <s v="青梅"/>
    <m/>
    <x v="0"/>
    <m/>
  </r>
  <r>
    <x v="1"/>
    <s v="特急"/>
    <d v="1899-12-30T07:00:00"/>
    <s v="松本"/>
    <m/>
    <x v="1"/>
    <m/>
  </r>
  <r>
    <x v="0"/>
    <s v="快速"/>
    <d v="1899-12-30T07:04:00"/>
    <s v="高尾"/>
    <m/>
    <x v="0"/>
    <m/>
  </r>
  <r>
    <x v="0"/>
    <s v="快速"/>
    <d v="1899-12-30T07:10:00"/>
    <s v="高尾"/>
    <m/>
    <x v="0"/>
    <m/>
  </r>
  <r>
    <x v="0"/>
    <s v="快速"/>
    <d v="1899-12-30T07:16:00"/>
    <s v="高尾"/>
    <m/>
    <x v="0"/>
    <m/>
  </r>
  <r>
    <x v="0"/>
    <s v="快速"/>
    <d v="1899-12-30T07:19:00"/>
    <s v="立川"/>
    <m/>
    <x v="0"/>
    <m/>
  </r>
  <r>
    <x v="0"/>
    <s v="快速"/>
    <d v="1899-12-30T07:25:00"/>
    <s v="高尾"/>
    <m/>
    <x v="0"/>
    <m/>
  </r>
  <r>
    <x v="1"/>
    <s v="特急"/>
    <d v="1899-12-30T07:30:00"/>
    <s v="南小谷"/>
    <m/>
    <x v="0"/>
    <m/>
  </r>
  <r>
    <x v="0"/>
    <s v="快速"/>
    <d v="1899-12-30T07:31:00"/>
    <s v="高尾"/>
    <m/>
    <x v="0"/>
    <m/>
  </r>
  <r>
    <x v="0"/>
    <s v="快速"/>
    <d v="1899-12-30T07:34:00"/>
    <s v="武蔵小金井"/>
    <m/>
    <x v="0"/>
    <m/>
  </r>
  <r>
    <x v="0"/>
    <s v="快速"/>
    <d v="1899-12-30T07:37:00"/>
    <s v="高尾"/>
    <m/>
    <x v="0"/>
    <m/>
  </r>
  <r>
    <x v="0"/>
    <s v="快速"/>
    <d v="1899-12-30T07:41:00"/>
    <s v="高尾"/>
    <m/>
    <x v="0"/>
    <m/>
  </r>
  <r>
    <x v="0"/>
    <s v="快速"/>
    <d v="1899-12-30T07:43:00"/>
    <s v="武蔵小金井"/>
    <m/>
    <x v="0"/>
    <m/>
  </r>
  <r>
    <x v="0"/>
    <s v="快速"/>
    <d v="1899-12-30T07:45:00"/>
    <s v="青梅"/>
    <m/>
    <x v="0"/>
    <m/>
  </r>
  <r>
    <x v="0"/>
    <s v="快速"/>
    <d v="1899-12-30T07:49:00"/>
    <s v="高尾"/>
    <m/>
    <x v="0"/>
    <m/>
  </r>
  <r>
    <x v="0"/>
    <s v="快速"/>
    <d v="1899-12-30T07:54:00"/>
    <s v="高尾"/>
    <m/>
    <x v="0"/>
    <m/>
  </r>
  <r>
    <x v="1"/>
    <s v="特急"/>
    <d v="1899-12-30T08:00:00"/>
    <s v="松本"/>
    <m/>
    <x v="1"/>
    <m/>
  </r>
  <r>
    <x v="0"/>
    <s v="快速"/>
    <d v="1899-12-30T08:01:00"/>
    <s v="青梅"/>
    <m/>
    <x v="0"/>
    <m/>
  </r>
  <r>
    <x v="0"/>
    <s v="快速"/>
    <d v="1899-12-30T08:03:00"/>
    <s v="武蔵小金井"/>
    <m/>
    <x v="0"/>
    <m/>
  </r>
  <r>
    <x v="0"/>
    <s v="快速"/>
    <d v="1899-12-30T08:05:00"/>
    <s v="高尾"/>
    <m/>
    <x v="0"/>
    <m/>
  </r>
  <r>
    <x v="0"/>
    <s v="快速"/>
    <d v="1899-12-30T08:07:00"/>
    <s v="武蔵小金井"/>
    <m/>
    <x v="0"/>
    <m/>
  </r>
  <r>
    <x v="0"/>
    <s v="快速"/>
    <d v="1899-12-30T08:10:00"/>
    <s v="高尾"/>
    <m/>
    <x v="0"/>
    <m/>
  </r>
  <r>
    <x v="0"/>
    <s v="快速"/>
    <d v="1899-12-30T08:12:00"/>
    <s v="豊田"/>
    <m/>
    <x v="0"/>
    <m/>
  </r>
  <r>
    <x v="0"/>
    <s v="快速"/>
    <d v="1899-12-30T08:15:00"/>
    <s v="豊田"/>
    <m/>
    <x v="0"/>
    <m/>
  </r>
  <r>
    <x v="0"/>
    <s v="快速"/>
    <d v="1899-12-30T08:17:00"/>
    <s v="高尾"/>
    <m/>
    <x v="0"/>
    <m/>
  </r>
  <r>
    <x v="0"/>
    <s v="快速"/>
    <d v="1899-12-30T08:19:00"/>
    <s v="青梅"/>
    <m/>
    <x v="0"/>
    <m/>
  </r>
  <r>
    <x v="0"/>
    <s v="快速"/>
    <d v="1899-12-30T08:22:00"/>
    <s v="武蔵小金井"/>
    <m/>
    <x v="0"/>
    <m/>
  </r>
  <r>
    <x v="0"/>
    <s v="快速"/>
    <d v="1899-12-30T08:24:00"/>
    <s v="高尾"/>
    <m/>
    <x v="0"/>
    <m/>
  </r>
  <r>
    <x v="0"/>
    <s v="快速"/>
    <d v="1899-12-30T08:26:00"/>
    <s v="立川"/>
    <m/>
    <x v="0"/>
    <m/>
  </r>
  <r>
    <x v="0"/>
    <s v="快速"/>
    <d v="1899-12-30T08:28:00"/>
    <s v="豊田"/>
    <m/>
    <x v="0"/>
    <m/>
  </r>
  <r>
    <x v="1"/>
    <s v="特急"/>
    <d v="1899-12-30T08:30:00"/>
    <s v="松本"/>
    <m/>
    <x v="1"/>
    <m/>
  </r>
  <r>
    <x v="0"/>
    <s v="快速"/>
    <d v="1899-12-30T08:32:00"/>
    <s v="高尾"/>
    <m/>
    <x v="0"/>
    <m/>
  </r>
  <r>
    <x v="0"/>
    <s v="快速"/>
    <d v="1899-12-30T08:34:00"/>
    <s v="武蔵小金井"/>
    <m/>
    <x v="0"/>
    <m/>
  </r>
  <r>
    <x v="0"/>
    <s v="快速"/>
    <d v="1899-12-30T08:36:00"/>
    <s v="豊田"/>
    <m/>
    <x v="0"/>
    <m/>
  </r>
  <r>
    <x v="0"/>
    <s v="快速"/>
    <d v="1899-12-30T08:38:00"/>
    <s v="高尾"/>
    <m/>
    <x v="0"/>
    <m/>
  </r>
  <r>
    <x v="0"/>
    <s v="快速"/>
    <d v="1899-12-30T08:40:00"/>
    <s v="豊田"/>
    <m/>
    <x v="0"/>
    <m/>
  </r>
  <r>
    <x v="0"/>
    <s v="快速"/>
    <d v="1899-12-30T08:42:00"/>
    <s v="八王子"/>
    <m/>
    <x v="0"/>
    <m/>
  </r>
  <r>
    <x v="0"/>
    <s v="快速"/>
    <d v="1899-12-30T08:44:00"/>
    <s v="豊田"/>
    <m/>
    <x v="0"/>
    <m/>
  </r>
  <r>
    <x v="0"/>
    <s v="快速"/>
    <d v="1899-12-30T08:46:00"/>
    <s v="高尾"/>
    <m/>
    <x v="0"/>
    <m/>
  </r>
  <r>
    <x v="0"/>
    <s v="快速"/>
    <d v="1899-12-30T08:48:00"/>
    <s v="青梅"/>
    <m/>
    <x v="0"/>
    <m/>
  </r>
  <r>
    <x v="0"/>
    <s v="快速"/>
    <d v="1899-12-30T08:50:00"/>
    <s v="武蔵小金井"/>
    <m/>
    <x v="0"/>
    <m/>
  </r>
  <r>
    <x v="0"/>
    <s v="快速"/>
    <d v="1899-12-30T08:52:00"/>
    <s v="立川"/>
    <m/>
    <x v="0"/>
    <m/>
  </r>
  <r>
    <x v="0"/>
    <s v="快速"/>
    <d v="1899-12-30T08:54:00"/>
    <s v="豊田"/>
    <m/>
    <x v="0"/>
    <m/>
  </r>
  <r>
    <x v="0"/>
    <s v="快速"/>
    <d v="1899-12-30T08:56:00"/>
    <s v="武蔵小金井"/>
    <m/>
    <x v="0"/>
    <m/>
  </r>
  <r>
    <x v="0"/>
    <s v="快速"/>
    <d v="1899-12-30T08:58:00"/>
    <s v="高尾"/>
    <m/>
    <x v="0"/>
    <m/>
  </r>
  <r>
    <x v="1"/>
    <s v="特急"/>
    <d v="1899-12-30T09:00:00"/>
    <s v="松本"/>
    <m/>
    <x v="1"/>
    <m/>
  </r>
  <r>
    <x v="0"/>
    <s v="快速"/>
    <d v="1899-12-30T09:02:00"/>
    <s v="豊田"/>
    <m/>
    <x v="0"/>
    <m/>
  </r>
  <r>
    <x v="0"/>
    <s v="快速"/>
    <d v="1899-12-30T09:04:00"/>
    <s v="高尾"/>
    <m/>
    <x v="0"/>
    <m/>
  </r>
  <r>
    <x v="0"/>
    <s v="快速"/>
    <d v="1899-12-30T09:06:00"/>
    <s v="豊田"/>
    <m/>
    <x v="0"/>
    <m/>
  </r>
  <r>
    <x v="0"/>
    <s v="快速"/>
    <d v="1899-12-30T09:08:00"/>
    <s v="武蔵小金井"/>
    <m/>
    <x v="0"/>
    <m/>
  </r>
  <r>
    <x v="0"/>
    <s v="快速"/>
    <d v="1899-12-30T09:10:00"/>
    <s v="八王子"/>
    <m/>
    <x v="0"/>
    <m/>
  </r>
  <r>
    <x v="0"/>
    <s v="快速"/>
    <d v="1899-12-30T09:12:00"/>
    <s v="高尾"/>
    <m/>
    <x v="0"/>
    <m/>
  </r>
  <r>
    <x v="0"/>
    <s v="快速"/>
    <d v="1899-12-30T09:14:00"/>
    <s v="武蔵小金井"/>
    <m/>
    <x v="0"/>
    <m/>
  </r>
  <r>
    <x v="0"/>
    <s v="快速"/>
    <d v="1899-12-30T09:16:00"/>
    <s v="青梅"/>
    <m/>
    <x v="0"/>
    <m/>
  </r>
  <r>
    <x v="0"/>
    <s v="快速"/>
    <d v="1899-12-30T09:18:00"/>
    <s v="武蔵小金井"/>
    <m/>
    <x v="0"/>
    <m/>
  </r>
  <r>
    <x v="0"/>
    <s v="快速"/>
    <d v="1899-12-30T09:20:00"/>
    <s v="大月"/>
    <m/>
    <x v="0"/>
    <m/>
  </r>
  <r>
    <x v="0"/>
    <s v="快速"/>
    <d v="1899-12-30T09:22:00"/>
    <s v="八王子"/>
    <m/>
    <x v="0"/>
    <m/>
  </r>
  <r>
    <x v="0"/>
    <s v="快速"/>
    <d v="1899-12-30T09:24:00"/>
    <s v="豊田"/>
    <m/>
    <x v="0"/>
    <m/>
  </r>
  <r>
    <x v="0"/>
    <s v="快速"/>
    <d v="1899-12-30T09:26:00"/>
    <s v="高尾"/>
    <m/>
    <x v="0"/>
    <m/>
  </r>
  <r>
    <x v="0"/>
    <s v="快速"/>
    <d v="1899-12-30T09:28:00"/>
    <s v="豊田"/>
    <m/>
    <x v="0"/>
    <m/>
  </r>
  <r>
    <x v="0"/>
    <s v="快速"/>
    <d v="1899-12-30T09:31:00"/>
    <s v="武蔵小金井"/>
    <m/>
    <x v="0"/>
    <m/>
  </r>
  <r>
    <x v="0"/>
    <s v="快速"/>
    <d v="1899-12-30T09:35:00"/>
    <s v="青梅"/>
    <m/>
    <x v="0"/>
    <m/>
  </r>
  <r>
    <x v="0"/>
    <s v="快速"/>
    <d v="1899-12-30T09:37:00"/>
    <s v="豊田"/>
    <m/>
    <x v="0"/>
    <m/>
  </r>
  <r>
    <x v="0"/>
    <s v="快速"/>
    <d v="1899-12-30T09:39:00"/>
    <s v="武蔵小金井"/>
    <m/>
    <x v="0"/>
    <m/>
  </r>
  <r>
    <x v="0"/>
    <s v="快速"/>
    <d v="1899-12-30T09:42:00"/>
    <s v="高尾"/>
    <m/>
    <x v="0"/>
    <m/>
  </r>
  <r>
    <x v="0"/>
    <s v="中央特快"/>
    <d v="1899-12-30T09:47:00"/>
    <s v="高尾"/>
    <m/>
    <x v="0"/>
    <m/>
  </r>
  <r>
    <x v="0"/>
    <s v="快速"/>
    <d v="1899-12-30T09:49:00"/>
    <s v="武蔵小金井"/>
    <m/>
    <x v="0"/>
    <m/>
  </r>
  <r>
    <x v="0"/>
    <s v="快速"/>
    <d v="1899-12-30T09:51:00"/>
    <s v="青梅"/>
    <m/>
    <x v="0"/>
    <m/>
  </r>
  <r>
    <x v="0"/>
    <s v="快速"/>
    <d v="1899-12-30T09:54:00"/>
    <s v="高尾"/>
    <m/>
    <x v="0"/>
    <m/>
  </r>
  <r>
    <x v="1"/>
    <s v="特急"/>
    <d v="1899-12-30T10:00:00"/>
    <s v="松本"/>
    <m/>
    <x v="1"/>
    <m/>
  </r>
  <r>
    <x v="0"/>
    <s v="快速"/>
    <d v="1899-12-30T10:01:00"/>
    <s v="立川"/>
    <m/>
    <x v="0"/>
    <m/>
  </r>
  <r>
    <x v="0"/>
    <s v="快速"/>
    <d v="1899-12-30T10:05:00"/>
    <s v="高尾"/>
    <m/>
    <x v="0"/>
    <m/>
  </r>
  <r>
    <x v="0"/>
    <s v="快速"/>
    <d v="1899-12-30T10:07:00"/>
    <s v="青梅"/>
    <m/>
    <x v="0"/>
    <m/>
  </r>
  <r>
    <x v="0"/>
    <s v="快速"/>
    <d v="1899-12-30T10:10:00"/>
    <s v="立川"/>
    <m/>
    <x v="0"/>
    <m/>
  </r>
  <r>
    <x v="0"/>
    <s v="快速"/>
    <d v="1899-12-30T10:12:00"/>
    <s v="八王子"/>
    <m/>
    <x v="0"/>
    <m/>
  </r>
  <r>
    <x v="0"/>
    <s v="快速"/>
    <d v="1899-12-30T10:16:00"/>
    <s v="高尾"/>
    <m/>
    <x v="0"/>
    <m/>
  </r>
  <r>
    <x v="0"/>
    <s v="中央特快"/>
    <d v="1899-12-30T10:23:00"/>
    <s v="高尾"/>
    <m/>
    <x v="0"/>
    <m/>
  </r>
  <r>
    <x v="0"/>
    <s v="快速"/>
    <d v="1899-12-30T10:25:00"/>
    <s v="八王子"/>
    <m/>
    <x v="0"/>
    <m/>
  </r>
  <r>
    <x v="0"/>
    <s v="快速"/>
    <d v="1899-12-30T10:31:00"/>
    <s v="豊田"/>
    <m/>
    <x v="0"/>
    <m/>
  </r>
  <r>
    <x v="0"/>
    <s v="青梅特快"/>
    <d v="1899-12-30T10:37:00"/>
    <s v="青梅"/>
    <m/>
    <x v="0"/>
    <m/>
  </r>
  <r>
    <x v="0"/>
    <s v="快速"/>
    <d v="1899-12-30T10:39:00"/>
    <s v="青梅"/>
    <m/>
    <x v="0"/>
    <m/>
  </r>
  <r>
    <x v="0"/>
    <s v="中央特快"/>
    <d v="1899-12-30T10:45:00"/>
    <s v="高尾"/>
    <m/>
    <x v="0"/>
    <m/>
  </r>
  <r>
    <x v="0"/>
    <s v="快速"/>
    <d v="1899-12-30T10:47:00"/>
    <s v="高尾"/>
    <m/>
    <x v="0"/>
    <m/>
  </r>
  <r>
    <x v="0"/>
    <s v="快速"/>
    <d v="1899-12-30T10:49:00"/>
    <s v="八王子"/>
    <m/>
    <x v="0"/>
    <m/>
  </r>
  <r>
    <x v="0"/>
    <s v="快速"/>
    <d v="1899-12-30T10:53:00"/>
    <s v="高尾"/>
    <m/>
    <x v="0"/>
    <m/>
  </r>
  <r>
    <x v="1"/>
    <s v="特急"/>
    <d v="1899-12-30T11:00:00"/>
    <s v="松本"/>
    <m/>
    <x v="1"/>
    <m/>
  </r>
  <r>
    <x v="0"/>
    <s v="快速"/>
    <d v="1899-12-30T11:02:00"/>
    <s v="青梅"/>
    <m/>
    <x v="0"/>
    <m/>
  </r>
  <r>
    <x v="0"/>
    <s v="中央特快"/>
    <d v="1899-12-30T11:07:00"/>
    <s v="高尾"/>
    <m/>
    <x v="0"/>
    <m/>
  </r>
  <r>
    <x v="0"/>
    <s v="快速"/>
    <d v="1899-12-30T11:09:00"/>
    <s v="八王子"/>
    <m/>
    <x v="0"/>
    <m/>
  </r>
  <r>
    <x v="0"/>
    <s v="快速"/>
    <d v="1899-12-30T11:12:00"/>
    <s v="立川"/>
    <m/>
    <x v="0"/>
    <m/>
  </r>
  <r>
    <x v="0"/>
    <s v="快速"/>
    <d v="1899-12-30T11:16:00"/>
    <s v="立川"/>
    <m/>
    <x v="0"/>
    <m/>
  </r>
  <r>
    <x v="0"/>
    <s v="中央特快"/>
    <d v="1899-12-30T11:21:00"/>
    <s v="高尾"/>
    <m/>
    <x v="0"/>
    <m/>
  </r>
  <r>
    <x v="0"/>
    <s v="快速"/>
    <d v="1899-12-30T11:24:00"/>
    <s v="青梅"/>
    <m/>
    <x v="0"/>
    <m/>
  </r>
  <r>
    <x v="1"/>
    <s v="特急"/>
    <d v="1899-12-30T11:30:00"/>
    <s v="甲府"/>
    <m/>
    <x v="1"/>
    <m/>
  </r>
  <r>
    <x v="0"/>
    <s v="快速"/>
    <d v="1899-12-30T11:31:00"/>
    <s v="豊田"/>
    <m/>
    <x v="0"/>
    <m/>
  </r>
  <r>
    <x v="0"/>
    <s v="中央特快"/>
    <d v="1899-12-30T11:37:00"/>
    <s v="高尾"/>
    <m/>
    <x v="0"/>
    <m/>
  </r>
  <r>
    <x v="0"/>
    <s v="快速"/>
    <d v="1899-12-30T11:39:00"/>
    <s v="高尾"/>
    <m/>
    <x v="0"/>
    <m/>
  </r>
  <r>
    <x v="0"/>
    <s v="中央特快"/>
    <d v="1899-12-30T11:44:00"/>
    <s v="高尾"/>
    <m/>
    <x v="0"/>
    <m/>
  </r>
  <r>
    <x v="0"/>
    <s v="快速"/>
    <d v="1899-12-30T11:46:00"/>
    <s v="豊田"/>
    <m/>
    <x v="0"/>
    <m/>
  </r>
  <r>
    <x v="0"/>
    <s v="青梅特快"/>
    <d v="1899-12-30T11:52:00"/>
    <s v="青梅"/>
    <m/>
    <x v="0"/>
    <m/>
  </r>
  <r>
    <x v="0"/>
    <s v="快速"/>
    <d v="1899-12-30T11:54:00"/>
    <s v="八王子"/>
    <m/>
    <x v="0"/>
    <m/>
  </r>
  <r>
    <x v="1"/>
    <s v="特急"/>
    <d v="1899-12-30T12:00:00"/>
    <s v="松本"/>
    <m/>
    <x v="1"/>
    <m/>
  </r>
  <r>
    <x v="0"/>
    <s v="快速"/>
    <d v="1899-12-30T12:01:00"/>
    <s v="青梅"/>
    <m/>
    <x v="0"/>
    <m/>
  </r>
  <r>
    <x v="0"/>
    <s v="快速"/>
    <d v="1899-12-30T12:03:00"/>
    <s v="豊田"/>
    <m/>
    <x v="0"/>
    <m/>
  </r>
  <r>
    <x v="0"/>
    <s v="中央特快"/>
    <d v="1899-12-30T12:10:00"/>
    <s v="高尾"/>
    <m/>
    <x v="0"/>
    <m/>
  </r>
  <r>
    <x v="0"/>
    <s v="快速"/>
    <d v="1899-12-30T12:12:00"/>
    <s v="八王子"/>
    <m/>
    <x v="0"/>
    <m/>
  </r>
  <r>
    <x v="0"/>
    <s v="快速"/>
    <d v="1899-12-30T12:17:00"/>
    <s v="立川"/>
    <m/>
    <x v="0"/>
    <m/>
  </r>
  <r>
    <x v="0"/>
    <s v="中央特快"/>
    <d v="1899-12-30T12:22:00"/>
    <s v="高尾"/>
    <m/>
    <x v="0"/>
    <m/>
  </r>
  <r>
    <x v="0"/>
    <s v="快速"/>
    <d v="1899-12-30T12:24:00"/>
    <s v="青梅"/>
    <m/>
    <x v="0"/>
    <m/>
  </r>
  <r>
    <x v="1"/>
    <s v="特急"/>
    <d v="1899-12-30T12:30:00"/>
    <s v="甲府"/>
    <m/>
    <x v="1"/>
    <m/>
  </r>
  <r>
    <x v="0"/>
    <s v="快速"/>
    <d v="1899-12-30T12:31:00"/>
    <s v="豊田"/>
    <m/>
    <x v="0"/>
    <m/>
  </r>
  <r>
    <x v="0"/>
    <s v="中央特快"/>
    <d v="1899-12-30T12:37:00"/>
    <s v="高尾"/>
    <m/>
    <x v="0"/>
    <m/>
  </r>
  <r>
    <x v="0"/>
    <s v="快速"/>
    <d v="1899-12-30T12:39:00"/>
    <s v="高尾"/>
    <m/>
    <x v="0"/>
    <m/>
  </r>
  <r>
    <x v="0"/>
    <s v="中央特快"/>
    <d v="1899-12-30T12:44:00"/>
    <s v="高尾"/>
    <m/>
    <x v="0"/>
    <m/>
  </r>
  <r>
    <x v="0"/>
    <s v="快速"/>
    <d v="1899-12-30T12:46:00"/>
    <s v="豊田"/>
    <m/>
    <x v="0"/>
    <m/>
  </r>
  <r>
    <x v="0"/>
    <s v="快速"/>
    <d v="1899-12-30T12:52:00"/>
    <s v="青梅"/>
    <m/>
    <x v="0"/>
    <m/>
  </r>
  <r>
    <x v="0"/>
    <s v="快速"/>
    <d v="1899-12-30T12:54:00"/>
    <s v="高尾"/>
    <m/>
    <x v="0"/>
    <m/>
  </r>
  <r>
    <x v="1"/>
    <s v="特急"/>
    <d v="1899-12-30T13:00:00"/>
    <s v="松本"/>
    <m/>
    <x v="1"/>
    <m/>
  </r>
  <r>
    <x v="0"/>
    <s v="快速"/>
    <d v="1899-12-30T13:02:00"/>
    <s v="青梅"/>
    <m/>
    <x v="0"/>
    <m/>
  </r>
  <r>
    <x v="0"/>
    <s v="中央特快"/>
    <d v="1899-12-30T13:07:00"/>
    <s v="高尾"/>
    <m/>
    <x v="0"/>
    <m/>
  </r>
  <r>
    <x v="0"/>
    <s v="快速"/>
    <d v="1899-12-30T13:09:00"/>
    <s v="豊田"/>
    <m/>
    <x v="0"/>
    <m/>
  </r>
  <r>
    <x v="0"/>
    <s v="快速"/>
    <d v="1899-12-30T13:12:00"/>
    <s v="立川"/>
    <m/>
    <x v="0"/>
    <m/>
  </r>
  <r>
    <x v="0"/>
    <s v="快速"/>
    <d v="1899-12-30T13:16:00"/>
    <s v="八王子"/>
    <m/>
    <x v="0"/>
    <m/>
  </r>
  <r>
    <x v="0"/>
    <s v="中央特快"/>
    <d v="1899-12-30T13:22:00"/>
    <s v="高尾"/>
    <m/>
    <x v="0"/>
    <m/>
  </r>
  <r>
    <x v="0"/>
    <s v="快速"/>
    <d v="1899-12-30T13:24:00"/>
    <s v="青梅"/>
    <m/>
    <x v="0"/>
    <m/>
  </r>
  <r>
    <x v="1"/>
    <s v="特急"/>
    <d v="1899-12-30T13:30:00"/>
    <s v="甲府"/>
    <m/>
    <x v="1"/>
    <m/>
  </r>
  <r>
    <x v="0"/>
    <s v="快速"/>
    <d v="1899-12-30T13:31:00"/>
    <s v="高尾"/>
    <m/>
    <x v="0"/>
    <m/>
  </r>
  <r>
    <x v="0"/>
    <s v="中央特快"/>
    <d v="1899-12-30T13:37:00"/>
    <s v="高尾"/>
    <m/>
    <x v="0"/>
    <m/>
  </r>
  <r>
    <x v="0"/>
    <s v="快速"/>
    <d v="1899-12-30T13:39:00"/>
    <s v="高尾"/>
    <m/>
    <x v="0"/>
    <m/>
  </r>
  <r>
    <x v="0"/>
    <s v="中央特快"/>
    <d v="1899-12-30T13:44:00"/>
    <s v="大月"/>
    <m/>
    <x v="0"/>
    <m/>
  </r>
  <r>
    <x v="0"/>
    <s v="快速"/>
    <d v="1899-12-30T13:46:00"/>
    <s v="八王子"/>
    <m/>
    <x v="0"/>
    <m/>
  </r>
  <r>
    <x v="0"/>
    <s v="青梅特快"/>
    <d v="1899-12-30T13:52:00"/>
    <s v="青梅"/>
    <m/>
    <x v="0"/>
    <m/>
  </r>
  <r>
    <x v="0"/>
    <s v="快速"/>
    <d v="1899-12-30T13:54:00"/>
    <s v="高尾"/>
    <m/>
    <x v="0"/>
    <m/>
  </r>
  <r>
    <x v="1"/>
    <s v="特急"/>
    <d v="1899-12-30T14:00:00"/>
    <s v="松本"/>
    <m/>
    <x v="1"/>
    <m/>
  </r>
  <r>
    <x v="0"/>
    <s v="快速"/>
    <d v="1899-12-30T14:02:00"/>
    <s v="青梅"/>
    <m/>
    <x v="0"/>
    <m/>
  </r>
  <r>
    <x v="0"/>
    <s v="中央特快"/>
    <d v="1899-12-30T14:07:00"/>
    <s v="高尾"/>
    <m/>
    <x v="0"/>
    <m/>
  </r>
  <r>
    <x v="0"/>
    <s v="快速"/>
    <d v="1899-12-30T14:09:00"/>
    <s v="立川"/>
    <m/>
    <x v="0"/>
    <m/>
  </r>
  <r>
    <x v="0"/>
    <s v="快速"/>
    <d v="1899-12-30T14:12:00"/>
    <s v="八王子"/>
    <m/>
    <x v="0"/>
    <m/>
  </r>
  <r>
    <x v="0"/>
    <s v="快速"/>
    <d v="1899-12-30T14:17:00"/>
    <s v="立川"/>
    <m/>
    <x v="0"/>
    <m/>
  </r>
  <r>
    <x v="0"/>
    <s v="中央特快"/>
    <d v="1899-12-30T14:22:00"/>
    <s v="高尾"/>
    <m/>
    <x v="0"/>
    <m/>
  </r>
  <r>
    <x v="0"/>
    <s v="快速"/>
    <d v="1899-12-30T14:24:00"/>
    <s v="青梅"/>
    <m/>
    <x v="0"/>
    <m/>
  </r>
  <r>
    <x v="1"/>
    <s v="特急"/>
    <d v="1899-12-30T14:30:00"/>
    <s v="甲府"/>
    <m/>
    <x v="1"/>
    <m/>
  </r>
  <r>
    <x v="0"/>
    <s v="快速"/>
    <d v="1899-12-30T14:31:00"/>
    <s v="高尾"/>
    <m/>
    <x v="0"/>
    <m/>
  </r>
  <r>
    <x v="0"/>
    <s v="中央特快"/>
    <d v="1899-12-30T14:37:00"/>
    <s v="高尾"/>
    <m/>
    <x v="0"/>
    <m/>
  </r>
  <r>
    <x v="0"/>
    <s v="快速"/>
    <d v="1899-12-30T14:39:00"/>
    <s v="高尾"/>
    <m/>
    <x v="0"/>
    <m/>
  </r>
  <r>
    <x v="0"/>
    <s v="中央特快"/>
    <d v="1899-12-30T14:44:00"/>
    <s v="大月"/>
    <m/>
    <x v="0"/>
    <m/>
  </r>
  <r>
    <x v="0"/>
    <s v="快速"/>
    <d v="1899-12-30T14:46:00"/>
    <s v="八王子"/>
    <m/>
    <x v="0"/>
    <m/>
  </r>
  <r>
    <x v="0"/>
    <s v="青梅特快"/>
    <d v="1899-12-30T14:52:00"/>
    <s v="青梅"/>
    <m/>
    <x v="0"/>
    <m/>
  </r>
  <r>
    <x v="0"/>
    <s v="快速"/>
    <d v="1899-12-30T14:54:00"/>
    <s v="高尾"/>
    <m/>
    <x v="0"/>
    <m/>
  </r>
  <r>
    <x v="1"/>
    <s v="特急"/>
    <d v="1899-12-30T15:00:00"/>
    <s v="松本"/>
    <m/>
    <x v="1"/>
    <m/>
  </r>
  <r>
    <x v="0"/>
    <s v="快速"/>
    <d v="1899-12-30T15:02:00"/>
    <s v="青梅"/>
    <m/>
    <x v="0"/>
    <m/>
  </r>
  <r>
    <x v="0"/>
    <s v="中央特快"/>
    <d v="1899-12-30T15:07:00"/>
    <s v="高尾"/>
    <m/>
    <x v="0"/>
    <m/>
  </r>
  <r>
    <x v="0"/>
    <s v="快速"/>
    <d v="1899-12-30T15:09:00"/>
    <s v="八王子"/>
    <m/>
    <x v="0"/>
    <m/>
  </r>
  <r>
    <x v="0"/>
    <s v="快速"/>
    <d v="1899-12-30T15:12:00"/>
    <s v="立川"/>
    <m/>
    <x v="0"/>
    <m/>
  </r>
  <r>
    <x v="0"/>
    <s v="快速"/>
    <d v="1899-12-30T15:15:00"/>
    <s v="高尾"/>
    <m/>
    <x v="0"/>
    <m/>
  </r>
  <r>
    <x v="0"/>
    <s v="中央特快"/>
    <d v="1899-12-30T15:21:00"/>
    <s v="高尾"/>
    <m/>
    <x v="0"/>
    <m/>
  </r>
  <r>
    <x v="0"/>
    <s v="快速"/>
    <d v="1899-12-30T15:24:00"/>
    <s v="青梅"/>
    <m/>
    <x v="0"/>
    <m/>
  </r>
  <r>
    <x v="1"/>
    <s v="特急"/>
    <d v="1899-12-30T15:30:00"/>
    <s v="甲府"/>
    <m/>
    <x v="0"/>
    <m/>
  </r>
  <r>
    <x v="0"/>
    <s v="快速"/>
    <d v="1899-12-30T15:31:00"/>
    <s v="立川"/>
    <m/>
    <x v="0"/>
    <m/>
  </r>
  <r>
    <x v="0"/>
    <s v="中央特快"/>
    <d v="1899-12-30T15:37:00"/>
    <s v="高尾"/>
    <m/>
    <x v="0"/>
    <m/>
  </r>
  <r>
    <x v="0"/>
    <s v="快速"/>
    <d v="1899-12-30T15:39:00"/>
    <s v="高尾"/>
    <m/>
    <x v="0"/>
    <m/>
  </r>
  <r>
    <x v="0"/>
    <s v="中央特快"/>
    <d v="1899-12-30T15:45:00"/>
    <s v="高尾"/>
    <m/>
    <x v="0"/>
    <m/>
  </r>
  <r>
    <x v="0"/>
    <s v="快速"/>
    <d v="1899-12-30T15:47:00"/>
    <s v="青梅"/>
    <m/>
    <x v="0"/>
    <m/>
  </r>
  <r>
    <x v="0"/>
    <s v="中央特快"/>
    <d v="1899-12-30T15:52:00"/>
    <s v="高尾"/>
    <m/>
    <x v="0"/>
    <m/>
  </r>
  <r>
    <x v="0"/>
    <s v="快速"/>
    <d v="1899-12-30T15:55:00"/>
    <s v="豊田"/>
    <m/>
    <x v="0"/>
    <m/>
  </r>
  <r>
    <x v="1"/>
    <s v="特急"/>
    <d v="1899-12-30T16:00:00"/>
    <s v="松本"/>
    <m/>
    <x v="1"/>
    <m/>
  </r>
  <r>
    <x v="0"/>
    <s v="快速"/>
    <d v="1899-12-30T16:02:00"/>
    <s v="高尾"/>
    <m/>
    <x v="0"/>
    <m/>
  </r>
  <r>
    <x v="0"/>
    <s v="中央特快"/>
    <d v="1899-12-30T16:07:00"/>
    <s v="高尾"/>
    <m/>
    <x v="0"/>
    <m/>
  </r>
  <r>
    <x v="0"/>
    <s v="快速"/>
    <d v="1899-12-30T16:09:00"/>
    <s v="高尾"/>
    <m/>
    <x v="0"/>
    <m/>
  </r>
  <r>
    <x v="0"/>
    <s v="快速"/>
    <d v="1899-12-30T16:12:00"/>
    <s v="立川"/>
    <m/>
    <x v="0"/>
    <m/>
  </r>
  <r>
    <x v="0"/>
    <s v="中央特快"/>
    <d v="1899-12-30T16:18:00"/>
    <s v="高尾"/>
    <m/>
    <x v="0"/>
    <m/>
  </r>
  <r>
    <x v="0"/>
    <s v="快速"/>
    <d v="1899-12-30T16:20:00"/>
    <s v="高尾"/>
    <m/>
    <x v="0"/>
    <m/>
  </r>
  <r>
    <x v="0"/>
    <s v="快速"/>
    <d v="1899-12-30T16:25:00"/>
    <s v="豊田"/>
    <m/>
    <x v="0"/>
    <m/>
  </r>
  <r>
    <x v="1"/>
    <s v="特急"/>
    <d v="1899-12-30T16:30:00"/>
    <s v="甲府"/>
    <m/>
    <x v="0"/>
    <m/>
  </r>
  <r>
    <x v="0"/>
    <s v="快速"/>
    <d v="1899-12-30T16:31:00"/>
    <s v="青梅"/>
    <m/>
    <x v="0"/>
    <m/>
  </r>
  <r>
    <x v="0"/>
    <s v="快速"/>
    <d v="1899-12-30T16:36:00"/>
    <s v="高尾"/>
    <m/>
    <x v="0"/>
    <m/>
  </r>
  <r>
    <x v="0"/>
    <s v="中央特快"/>
    <d v="1899-12-30T16:41:00"/>
    <s v="高尾"/>
    <m/>
    <x v="0"/>
    <m/>
  </r>
  <r>
    <x v="0"/>
    <s v="快速"/>
    <d v="1899-12-30T16:44:00"/>
    <s v="高尾"/>
    <m/>
    <x v="0"/>
    <m/>
  </r>
  <r>
    <x v="0"/>
    <s v="快速"/>
    <d v="1899-12-30T16:47:00"/>
    <s v="青梅"/>
    <m/>
    <x v="0"/>
    <m/>
  </r>
  <r>
    <x v="0"/>
    <s v="快速"/>
    <d v="1899-12-30T16:49:00"/>
    <s v="八王子"/>
    <m/>
    <x v="0"/>
    <m/>
  </r>
  <r>
    <x v="0"/>
    <s v="快速"/>
    <d v="1899-12-30T16:51:00"/>
    <s v="立川"/>
    <m/>
    <x v="0"/>
    <m/>
  </r>
  <r>
    <x v="0"/>
    <s v="快速"/>
    <d v="1899-12-30T16:55:00"/>
    <s v="大月"/>
    <m/>
    <x v="0"/>
    <m/>
  </r>
  <r>
    <x v="1"/>
    <s v="特急"/>
    <d v="1899-12-30T17:00:00"/>
    <s v="松本"/>
    <m/>
    <x v="0"/>
    <m/>
  </r>
  <r>
    <x v="0"/>
    <s v="快速"/>
    <d v="1899-12-30T17:02:00"/>
    <s v="高尾"/>
    <m/>
    <x v="0"/>
    <m/>
  </r>
  <r>
    <x v="0"/>
    <s v="快速"/>
    <d v="1899-12-30T17:06:00"/>
    <s v="高尾"/>
    <m/>
    <x v="0"/>
    <m/>
  </r>
  <r>
    <x v="0"/>
    <s v="快速"/>
    <d v="1899-12-30T17:10:00"/>
    <s v="青梅"/>
    <m/>
    <x v="0"/>
    <m/>
  </r>
  <r>
    <x v="0"/>
    <s v="快速"/>
    <d v="1899-12-30T17:14:00"/>
    <s v="立川"/>
    <m/>
    <x v="0"/>
    <m/>
  </r>
  <r>
    <x v="0"/>
    <s v="快速"/>
    <d v="1899-12-30T17:16:00"/>
    <s v="八王子"/>
    <m/>
    <x v="0"/>
    <m/>
  </r>
  <r>
    <x v="0"/>
    <s v="快速"/>
    <d v="1899-12-30T17:19:00"/>
    <s v="高尾"/>
    <m/>
    <x v="0"/>
    <m/>
  </r>
  <r>
    <x v="0"/>
    <s v="通勤快速"/>
    <d v="1899-12-30T17:22:00"/>
    <s v="高尾"/>
    <m/>
    <x v="0"/>
    <m/>
  </r>
  <r>
    <x v="0"/>
    <s v="快速"/>
    <d v="1899-12-30T17:25:00"/>
    <s v="高尾"/>
    <m/>
    <x v="0"/>
    <m/>
  </r>
  <r>
    <x v="0"/>
    <s v="快速"/>
    <d v="1899-12-30T17:27:00"/>
    <s v="豊田"/>
    <m/>
    <x v="0"/>
    <m/>
  </r>
  <r>
    <x v="1"/>
    <s v="特急"/>
    <d v="1899-12-30T17:30:00"/>
    <s v="松本"/>
    <m/>
    <x v="1"/>
    <m/>
  </r>
  <r>
    <x v="0"/>
    <s v="快速"/>
    <d v="1899-12-30T17:32:00"/>
    <s v="武蔵小金井"/>
    <m/>
    <x v="0"/>
    <m/>
  </r>
  <r>
    <x v="0"/>
    <s v="通勤快速"/>
    <d v="1899-12-30T17:36:00"/>
    <s v="青梅"/>
    <m/>
    <x v="0"/>
    <m/>
  </r>
  <r>
    <x v="0"/>
    <s v="快速"/>
    <d v="1899-12-30T17:38:00"/>
    <s v="青梅"/>
    <m/>
    <x v="0"/>
    <m/>
  </r>
  <r>
    <x v="0"/>
    <s v="快速"/>
    <d v="1899-12-30T17:40:00"/>
    <s v="高尾"/>
    <m/>
    <x v="0"/>
    <m/>
  </r>
  <r>
    <x v="0"/>
    <s v="快速"/>
    <d v="1899-12-30T17:43:00"/>
    <s v="立川"/>
    <m/>
    <x v="0"/>
    <m/>
  </r>
  <r>
    <x v="0"/>
    <s v="通勤快速"/>
    <d v="1899-12-30T17:46:00"/>
    <s v="高尾"/>
    <m/>
    <x v="0"/>
    <m/>
  </r>
  <r>
    <x v="0"/>
    <s v="快速"/>
    <d v="1899-12-30T17:49:00"/>
    <s v="武蔵小金井"/>
    <m/>
    <x v="0"/>
    <m/>
  </r>
  <r>
    <x v="0"/>
    <s v="快速"/>
    <d v="1899-12-30T17:51:00"/>
    <s v="高尾"/>
    <m/>
    <x v="0"/>
    <m/>
  </r>
  <r>
    <x v="0"/>
    <s v="快速"/>
    <d v="1899-12-30T17:54:00"/>
    <s v="高尾"/>
    <m/>
    <x v="0"/>
    <m/>
  </r>
  <r>
    <x v="0"/>
    <s v="快速"/>
    <d v="1899-12-30T17:58:00"/>
    <s v="青梅"/>
    <m/>
    <x v="0"/>
    <m/>
  </r>
  <r>
    <x v="0"/>
    <s v="快速"/>
    <d v="1899-12-30T18:02:00"/>
    <s v="大月"/>
    <m/>
    <x v="0"/>
    <m/>
  </r>
  <r>
    <x v="0"/>
    <s v="快速"/>
    <d v="1899-12-30T18:04:00"/>
    <s v="武蔵小金井"/>
    <m/>
    <x v="0"/>
    <m/>
  </r>
  <r>
    <x v="0"/>
    <s v="通勤快速"/>
    <d v="1899-12-30T18:07:00"/>
    <s v="高尾"/>
    <m/>
    <x v="0"/>
    <m/>
  </r>
  <r>
    <x v="0"/>
    <s v="快速"/>
    <d v="1899-12-30T18:09:00"/>
    <s v="高尾"/>
    <m/>
    <x v="0"/>
    <m/>
  </r>
  <r>
    <x v="0"/>
    <s v="快速"/>
    <d v="1899-12-30T18:11:00"/>
    <s v="武蔵小金井"/>
    <m/>
    <x v="0"/>
    <m/>
  </r>
  <r>
    <x v="0"/>
    <s v="快速"/>
    <d v="1899-12-30T18:11:00"/>
    <s v="箱根ケ崎"/>
    <m/>
    <x v="0"/>
    <m/>
  </r>
  <r>
    <x v="1"/>
    <s v="ライナー"/>
    <d v="1899-12-30T18:15:00"/>
    <s v="青梅"/>
    <m/>
    <x v="0"/>
    <m/>
  </r>
  <r>
    <x v="0"/>
    <s v="快速"/>
    <d v="1899-12-30T18:17:00"/>
    <s v="豊田"/>
    <m/>
    <x v="0"/>
    <m/>
  </r>
  <r>
    <x v="0"/>
    <s v="快速"/>
    <d v="1899-12-30T18:20:00"/>
    <s v="高尾"/>
    <m/>
    <x v="0"/>
    <m/>
  </r>
  <r>
    <x v="0"/>
    <s v="通勤快速"/>
    <d v="1899-12-30T18:23:00"/>
    <s v="河口湖"/>
    <m/>
    <x v="0"/>
    <m/>
  </r>
  <r>
    <x v="0"/>
    <s v="快速"/>
    <d v="1899-12-30T18:25:00"/>
    <s v="武蔵小金井"/>
    <m/>
    <x v="0"/>
    <m/>
  </r>
  <r>
    <x v="0"/>
    <s v="快速"/>
    <d v="1899-12-30T18:27:00"/>
    <s v="青梅"/>
    <m/>
    <x v="0"/>
    <m/>
  </r>
  <r>
    <x v="1"/>
    <s v="特急"/>
    <d v="1899-12-30T18:30:00"/>
    <s v="竜王"/>
    <m/>
    <x v="1"/>
    <m/>
  </r>
  <r>
    <x v="0"/>
    <s v="快速"/>
    <d v="1899-12-30T18:32:00"/>
    <s v="八王子"/>
    <m/>
    <x v="0"/>
    <m/>
  </r>
  <r>
    <x v="0"/>
    <s v="快速"/>
    <d v="1899-12-30T18:35:00"/>
    <s v="豊田"/>
    <m/>
    <x v="0"/>
    <m/>
  </r>
  <r>
    <x v="0"/>
    <s v="通勤快速"/>
    <d v="1899-12-30T18:37:00"/>
    <s v="高尾"/>
    <m/>
    <x v="0"/>
    <m/>
  </r>
  <r>
    <x v="0"/>
    <s v="快速"/>
    <d v="1899-12-30T18:39:00"/>
    <s v="青梅"/>
    <m/>
    <x v="0"/>
    <m/>
  </r>
  <r>
    <x v="0"/>
    <s v="快速"/>
    <d v="1899-12-30T18:42:00"/>
    <s v="豊田"/>
    <m/>
    <x v="0"/>
    <m/>
  </r>
  <r>
    <x v="1"/>
    <s v="ライナー"/>
    <d v="1899-12-30T18:45:00"/>
    <s v="高尾"/>
    <m/>
    <x v="0"/>
    <m/>
  </r>
  <r>
    <x v="0"/>
    <s v="快速"/>
    <d v="1899-12-30T18:47:00"/>
    <s v="立川"/>
    <m/>
    <x v="0"/>
    <m/>
  </r>
  <r>
    <x v="0"/>
    <s v="通勤快速"/>
    <d v="1899-12-30T18:50:00"/>
    <s v="高尾"/>
    <m/>
    <x v="0"/>
    <m/>
  </r>
  <r>
    <x v="0"/>
    <s v="快速"/>
    <d v="1899-12-30T18:52:00"/>
    <s v="高尾"/>
    <m/>
    <x v="0"/>
    <m/>
  </r>
  <r>
    <x v="0"/>
    <s v="快速"/>
    <d v="1899-12-30T18:56:00"/>
    <s v="青梅"/>
    <m/>
    <x v="0"/>
    <m/>
  </r>
  <r>
    <x v="1"/>
    <s v="特急"/>
    <d v="1899-12-30T19:00:00"/>
    <s v="松本"/>
    <m/>
    <x v="1"/>
    <m/>
  </r>
  <r>
    <x v="0"/>
    <s v="快速"/>
    <d v="1899-12-30T19:01:00"/>
    <s v="青梅"/>
    <m/>
    <x v="0"/>
    <m/>
  </r>
  <r>
    <x v="0"/>
    <s v="快速"/>
    <d v="1899-12-30T19:05:00"/>
    <s v="高尾"/>
    <m/>
    <x v="0"/>
    <m/>
  </r>
  <r>
    <x v="0"/>
    <s v="通勤快速"/>
    <d v="1899-12-30T19:08:00"/>
    <s v="大月"/>
    <m/>
    <x v="0"/>
    <m/>
  </r>
  <r>
    <x v="0"/>
    <s v="快速"/>
    <d v="1899-12-30T19:11:00"/>
    <s v="高尾"/>
    <m/>
    <x v="0"/>
    <m/>
  </r>
  <r>
    <x v="1"/>
    <s v="ライナー"/>
    <d v="1899-12-30T19:15:00"/>
    <s v="高尾"/>
    <m/>
    <x v="0"/>
    <m/>
  </r>
  <r>
    <x v="0"/>
    <s v="快速"/>
    <d v="1899-12-30T19:16:00"/>
    <s v="青梅"/>
    <m/>
    <x v="0"/>
    <m/>
  </r>
  <r>
    <x v="0"/>
    <s v="快速"/>
    <d v="1899-12-30T19:18:00"/>
    <s v="高尾"/>
    <m/>
    <x v="0"/>
    <m/>
  </r>
  <r>
    <x v="0"/>
    <s v="快速"/>
    <d v="1899-12-30T19:21:00"/>
    <s v="青梅"/>
    <m/>
    <x v="0"/>
    <m/>
  </r>
  <r>
    <x v="0"/>
    <s v="通勤快速"/>
    <d v="1899-12-30T19:24:00"/>
    <s v="河口湖"/>
    <m/>
    <x v="0"/>
    <m/>
  </r>
  <r>
    <x v="0"/>
    <s v="快速"/>
    <d v="1899-12-30T19:27:00"/>
    <s v="武蔵小金井"/>
    <m/>
    <x v="0"/>
    <m/>
  </r>
  <r>
    <x v="0"/>
    <s v="快速"/>
    <d v="1899-12-30T19:27:00"/>
    <s v="高麗川"/>
    <m/>
    <x v="0"/>
    <m/>
  </r>
  <r>
    <x v="1"/>
    <s v="特急"/>
    <d v="1899-12-30T19:30:00"/>
    <s v="竜王"/>
    <m/>
    <x v="1"/>
    <m/>
  </r>
  <r>
    <x v="0"/>
    <s v="快速"/>
    <d v="1899-12-30T19:32:00"/>
    <s v="立川"/>
    <m/>
    <x v="0"/>
    <m/>
  </r>
  <r>
    <x v="0"/>
    <s v="快速"/>
    <d v="1899-12-30T19:36:00"/>
    <s v="豊田"/>
    <m/>
    <x v="0"/>
    <m/>
  </r>
  <r>
    <x v="0"/>
    <s v="通勤快速"/>
    <d v="1899-12-30T19:39:00"/>
    <s v="高尾"/>
    <m/>
    <x v="0"/>
    <m/>
  </r>
  <r>
    <x v="0"/>
    <s v="快速"/>
    <d v="1899-12-30T19:42:00"/>
    <s v="高尾"/>
    <m/>
    <x v="0"/>
    <m/>
  </r>
  <r>
    <x v="0"/>
    <s v="快速"/>
    <d v="1899-12-30T19:45:00"/>
    <s v="立川"/>
    <m/>
    <x v="0"/>
    <m/>
  </r>
  <r>
    <x v="0"/>
    <s v="通勤快速"/>
    <d v="1899-12-30T19:48:00"/>
    <s v="大月"/>
    <m/>
    <x v="0"/>
    <m/>
  </r>
  <r>
    <x v="0"/>
    <s v="快速"/>
    <d v="1899-12-30T19:52:00"/>
    <s v="高尾"/>
    <m/>
    <x v="0"/>
    <m/>
  </r>
  <r>
    <x v="0"/>
    <s v="快速"/>
    <d v="1899-12-30T19:56:00"/>
    <s v="青梅"/>
    <m/>
    <x v="0"/>
    <m/>
  </r>
  <r>
    <x v="1"/>
    <s v="特急"/>
    <d v="1899-12-30T20:00:00"/>
    <s v="松本"/>
    <m/>
    <x v="1"/>
    <m/>
  </r>
  <r>
    <x v="0"/>
    <s v="快速"/>
    <d v="1899-12-30T20:01:00"/>
    <s v="大月"/>
    <m/>
    <x v="0"/>
    <m/>
  </r>
  <r>
    <x v="0"/>
    <s v="快速"/>
    <d v="1899-12-30T20:05:00"/>
    <s v="豊田"/>
    <m/>
    <x v="0"/>
    <m/>
  </r>
  <r>
    <x v="0"/>
    <s v="通勤快速"/>
    <d v="1899-12-30T20:08:00"/>
    <s v="高尾"/>
    <m/>
    <x v="0"/>
    <m/>
  </r>
  <r>
    <x v="0"/>
    <s v="快速"/>
    <d v="1899-12-30T20:11:00"/>
    <s v="高尾"/>
    <m/>
    <x v="0"/>
    <m/>
  </r>
  <r>
    <x v="1"/>
    <s v="ライナー"/>
    <d v="1899-12-30T20:15:00"/>
    <s v="青梅"/>
    <m/>
    <x v="0"/>
    <m/>
  </r>
  <r>
    <x v="0"/>
    <s v="快速"/>
    <d v="1899-12-30T20:17:00"/>
    <s v="青梅"/>
    <m/>
    <x v="0"/>
    <m/>
  </r>
  <r>
    <x v="0"/>
    <s v="快速"/>
    <d v="1899-12-30T20:20:00"/>
    <s v="高尾"/>
    <m/>
    <x v="0"/>
    <m/>
  </r>
  <r>
    <x v="0"/>
    <s v="通勤快速"/>
    <d v="1899-12-30T20:23:00"/>
    <s v="高尾"/>
    <m/>
    <x v="0"/>
    <m/>
  </r>
  <r>
    <x v="0"/>
    <s v="快速"/>
    <d v="1899-12-30T20:25:00"/>
    <s v="高尾"/>
    <m/>
    <x v="0"/>
    <m/>
  </r>
  <r>
    <x v="0"/>
    <s v="快速"/>
    <d v="1899-12-30T20:29:00"/>
    <s v="豊田"/>
    <m/>
    <x v="0"/>
    <m/>
  </r>
  <r>
    <x v="0"/>
    <s v="快速"/>
    <d v="1899-12-30T20:32:00"/>
    <s v="豊田"/>
    <m/>
    <x v="0"/>
    <m/>
  </r>
  <r>
    <x v="0"/>
    <s v="通勤快速"/>
    <d v="1899-12-30T20:35:00"/>
    <s v="青梅"/>
    <m/>
    <x v="0"/>
    <m/>
  </r>
  <r>
    <x v="0"/>
    <s v="快速"/>
    <d v="1899-12-30T20:38:00"/>
    <s v="高尾"/>
    <m/>
    <x v="0"/>
    <m/>
  </r>
  <r>
    <x v="0"/>
    <s v="快速"/>
    <d v="1899-12-30T20:41:00"/>
    <s v="武蔵小金井"/>
    <m/>
    <x v="0"/>
    <m/>
  </r>
  <r>
    <x v="0"/>
    <s v="快速"/>
    <d v="1899-12-30T20:44:00"/>
    <s v="高尾"/>
    <m/>
    <x v="0"/>
    <m/>
  </r>
  <r>
    <x v="0"/>
    <s v="快速"/>
    <d v="1899-12-30T20:47:00"/>
    <s v="八王子"/>
    <m/>
    <x v="0"/>
    <m/>
  </r>
  <r>
    <x v="0"/>
    <s v="通勤快速"/>
    <d v="1899-12-30T20:50:00"/>
    <s v="高尾"/>
    <m/>
    <x v="0"/>
    <m/>
  </r>
  <r>
    <x v="0"/>
    <s v="快速"/>
    <d v="1899-12-30T20:55:00"/>
    <s v="青梅"/>
    <m/>
    <x v="0"/>
    <m/>
  </r>
  <r>
    <x v="1"/>
    <s v="特急"/>
    <d v="1899-12-30T21:00:00"/>
    <s v="松本"/>
    <m/>
    <x v="1"/>
    <m/>
  </r>
  <r>
    <x v="0"/>
    <s v="快速"/>
    <d v="1899-12-30T21:01:00"/>
    <s v="八王子"/>
    <m/>
    <x v="0"/>
    <m/>
  </r>
  <r>
    <x v="0"/>
    <s v="通勤快速"/>
    <d v="1899-12-30T21:05:00"/>
    <s v="高尾"/>
    <m/>
    <x v="0"/>
    <m/>
  </r>
  <r>
    <x v="0"/>
    <s v="快速"/>
    <d v="1899-12-30T21:07:00"/>
    <s v="高尾"/>
    <m/>
    <x v="0"/>
    <m/>
  </r>
  <r>
    <x v="0"/>
    <s v="快速"/>
    <d v="1899-12-30T21:11:00"/>
    <s v="豊田"/>
    <m/>
    <x v="0"/>
    <m/>
  </r>
  <r>
    <x v="1"/>
    <s v="ライナー"/>
    <d v="1899-12-30T21:15:00"/>
    <s v="高尾"/>
    <m/>
    <x v="0"/>
    <m/>
  </r>
  <r>
    <x v="0"/>
    <s v="快速"/>
    <d v="1899-12-30T21:17:00"/>
    <s v="豊田"/>
    <m/>
    <x v="0"/>
    <m/>
  </r>
  <r>
    <x v="2"/>
    <s v="特急"/>
    <d v="1899-12-30T21:19:00"/>
    <s v="高尾"/>
    <m/>
    <x v="0"/>
    <m/>
  </r>
  <r>
    <x v="0"/>
    <s v="快速"/>
    <d v="1899-12-30T21:22:00"/>
    <s v="青梅"/>
    <m/>
    <x v="0"/>
    <m/>
  </r>
  <r>
    <x v="0"/>
    <s v="通勤快速"/>
    <d v="1899-12-30T21:25:00"/>
    <s v="高尾"/>
    <m/>
    <x v="0"/>
    <m/>
  </r>
  <r>
    <x v="0"/>
    <s v="快速"/>
    <d v="1899-12-30T21:28:00"/>
    <s v="高尾"/>
    <m/>
    <x v="0"/>
    <m/>
  </r>
  <r>
    <x v="0"/>
    <s v="快速"/>
    <d v="1899-12-30T21:33:00"/>
    <s v="立川"/>
    <m/>
    <x v="0"/>
    <m/>
  </r>
  <r>
    <x v="0"/>
    <s v="通勤快速"/>
    <d v="1899-12-30T21:36:00"/>
    <s v="高尾"/>
    <m/>
    <x v="0"/>
    <m/>
  </r>
  <r>
    <x v="0"/>
    <s v="快速"/>
    <d v="1899-12-30T21:42:00"/>
    <s v="青梅"/>
    <m/>
    <x v="0"/>
    <m/>
  </r>
  <r>
    <x v="1"/>
    <s v="ライナー"/>
    <d v="1899-12-30T21:45:00"/>
    <s v="青梅"/>
    <m/>
    <x v="0"/>
    <m/>
  </r>
  <r>
    <x v="0"/>
    <s v="快速"/>
    <d v="1899-12-30T21:46:00"/>
    <s v="豊田"/>
    <m/>
    <x v="0"/>
    <m/>
  </r>
  <r>
    <x v="0"/>
    <s v="通勤快速"/>
    <d v="1899-12-30T21:49:00"/>
    <s v="高尾"/>
    <m/>
    <x v="0"/>
    <m/>
  </r>
  <r>
    <x v="0"/>
    <s v="快速"/>
    <d v="1899-12-30T21:52:00"/>
    <s v="高尾"/>
    <m/>
    <x v="0"/>
    <m/>
  </r>
  <r>
    <x v="0"/>
    <s v="快速"/>
    <d v="1899-12-30T21:56:00"/>
    <s v="豊田"/>
    <m/>
    <x v="0"/>
    <m/>
  </r>
  <r>
    <x v="1"/>
    <s v="特急"/>
    <d v="1899-12-30T22:00:00"/>
    <s v="甲府"/>
    <m/>
    <x v="0"/>
    <m/>
  </r>
  <r>
    <x v="0"/>
    <s v="快速"/>
    <d v="1899-12-30T22:02:00"/>
    <s v="立川"/>
    <m/>
    <x v="0"/>
    <m/>
  </r>
  <r>
    <x v="0"/>
    <s v="通勤快速"/>
    <d v="1899-12-30T22:05:00"/>
    <s v="高尾"/>
    <m/>
    <x v="0"/>
    <m/>
  </r>
  <r>
    <x v="0"/>
    <s v="快速"/>
    <d v="1899-12-30T22:08:00"/>
    <s v="高尾"/>
    <m/>
    <x v="0"/>
    <m/>
  </r>
  <r>
    <x v="2"/>
    <s v="特急"/>
    <d v="1899-12-30T22:11:00"/>
    <s v="高尾"/>
    <m/>
    <x v="0"/>
    <m/>
  </r>
  <r>
    <x v="0"/>
    <s v="快速"/>
    <d v="1899-12-30T22:14:00"/>
    <s v="青梅"/>
    <m/>
    <x v="0"/>
    <m/>
  </r>
  <r>
    <x v="0"/>
    <s v="中央特快"/>
    <d v="1899-12-30T22:19:00"/>
    <s v="高尾"/>
    <m/>
    <x v="0"/>
    <m/>
  </r>
  <r>
    <x v="0"/>
    <s v="快速"/>
    <d v="1899-12-30T22:21:00"/>
    <s v="立川"/>
    <m/>
    <x v="0"/>
    <m/>
  </r>
  <r>
    <x v="0"/>
    <s v="快速"/>
    <d v="1899-12-30T22:24:00"/>
    <s v="高尾"/>
    <m/>
    <x v="0"/>
    <m/>
  </r>
  <r>
    <x v="0"/>
    <s v="中央特快"/>
    <d v="1899-12-30T22:29:00"/>
    <s v="高尾"/>
    <m/>
    <x v="0"/>
    <m/>
  </r>
  <r>
    <x v="0"/>
    <s v="快速"/>
    <d v="1899-12-30T22:32:00"/>
    <s v="青梅"/>
    <m/>
    <x v="0"/>
    <m/>
  </r>
  <r>
    <x v="0"/>
    <s v="快速"/>
    <d v="1899-12-30T22:39:00"/>
    <s v="立川"/>
    <m/>
    <x v="0"/>
    <m/>
  </r>
  <r>
    <x v="1"/>
    <s v="ライナー"/>
    <d v="1899-12-30T22:45:00"/>
    <s v="八王子"/>
    <m/>
    <x v="0"/>
    <m/>
  </r>
  <r>
    <x v="0"/>
    <s v="快速"/>
    <d v="1899-12-30T22:46:00"/>
    <s v="高尾"/>
    <m/>
    <x v="0"/>
    <m/>
  </r>
  <r>
    <x v="0"/>
    <s v="中央特快"/>
    <d v="1899-12-30T22:51:00"/>
    <s v="高尾"/>
    <m/>
    <x v="0"/>
    <m/>
  </r>
  <r>
    <x v="0"/>
    <s v="快速"/>
    <d v="1899-12-30T22:54:00"/>
    <s v="豊田"/>
    <m/>
    <x v="0"/>
    <m/>
  </r>
  <r>
    <x v="1"/>
    <s v="特急"/>
    <d v="1899-12-30T23:00:00"/>
    <s v="甲府"/>
    <m/>
    <x v="0"/>
    <m/>
  </r>
  <r>
    <x v="0"/>
    <s v="快速"/>
    <d v="1899-12-30T23:01:00"/>
    <s v="高尾"/>
    <m/>
    <x v="0"/>
    <m/>
  </r>
  <r>
    <x v="0"/>
    <s v="中央特快"/>
    <d v="1899-12-30T23:06:00"/>
    <s v="高尾"/>
    <m/>
    <x v="0"/>
    <m/>
  </r>
  <r>
    <x v="0"/>
    <s v="快速"/>
    <d v="1899-12-30T23:08:00"/>
    <s v="高尾"/>
    <m/>
    <x v="0"/>
    <m/>
  </r>
  <r>
    <x v="1"/>
    <s v="ライナー"/>
    <d v="1899-12-30T23:15:00"/>
    <s v="高尾"/>
    <m/>
    <x v="0"/>
    <m/>
  </r>
  <r>
    <x v="0"/>
    <s v="快速"/>
    <d v="1899-12-30T23:16:00"/>
    <s v="豊田"/>
    <m/>
    <x v="0"/>
    <m/>
  </r>
  <r>
    <x v="0"/>
    <s v="快速"/>
    <d v="1899-12-30T23:23:00"/>
    <s v="高尾"/>
    <m/>
    <x v="0"/>
    <m/>
  </r>
  <r>
    <x v="0"/>
    <s v="中央特快"/>
    <d v="1899-12-30T23:27:00"/>
    <s v="高尾"/>
    <m/>
    <x v="0"/>
    <m/>
  </r>
  <r>
    <x v="0"/>
    <s v="快速"/>
    <d v="1899-12-30T23:33:00"/>
    <s v="豊田"/>
    <m/>
    <x v="1"/>
    <m/>
  </r>
  <r>
    <x v="0"/>
    <s v="快速"/>
    <d v="1899-12-30T23:40:00"/>
    <s v="高尾"/>
    <m/>
    <x v="0"/>
    <m/>
  </r>
  <r>
    <x v="0"/>
    <s v="中央特快"/>
    <d v="1899-12-30T23:45:00"/>
    <s v="大月"/>
    <m/>
    <x v="0"/>
    <m/>
  </r>
  <r>
    <x v="0"/>
    <s v="快速"/>
    <d v="1899-12-30T23:56:00"/>
    <s v="豊田"/>
    <m/>
    <x v="0"/>
    <m/>
  </r>
  <r>
    <x v="0"/>
    <s v="快速"/>
    <d v="1899-12-31T00:06:00"/>
    <s v="国分寺"/>
    <m/>
    <x v="0"/>
    <m/>
  </r>
  <r>
    <x v="0"/>
    <s v="中央特快"/>
    <d v="1899-12-31T00:14:00"/>
    <s v="高尾"/>
    <m/>
    <x v="0"/>
    <m/>
  </r>
  <r>
    <x v="0"/>
    <s v="快速"/>
    <d v="1899-12-31T00:16:00"/>
    <s v="高尾"/>
    <m/>
    <x v="1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4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4"/>
  </r>
  <r>
    <x v="0"/>
  </r>
  <r>
    <x v="3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1"/>
  </r>
  <r>
    <x v="0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3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3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87">
  <r>
    <x v="0"/>
    <s v="快速"/>
    <d v="1899-12-30T06:05:00"/>
    <x v="0"/>
    <x v="0"/>
    <m/>
    <s v="四ツ谷/御茶ノ水/神田/東京"/>
  </r>
  <r>
    <x v="0"/>
    <s v="快速"/>
    <d v="1899-12-30T06:12:00"/>
    <x v="0"/>
    <x v="0"/>
    <m/>
    <s v="四ツ谷/御茶ノ水/神田/東京"/>
  </r>
  <r>
    <x v="0"/>
    <s v="快速"/>
    <d v="1899-12-30T06:20:00"/>
    <x v="0"/>
    <x v="0"/>
    <m/>
    <s v="四ツ谷/御茶ノ水/神田/東京"/>
  </r>
  <r>
    <x v="0"/>
    <s v="快速"/>
    <d v="1899-12-30T06:27:00"/>
    <x v="0"/>
    <x v="0"/>
    <m/>
    <s v="四ツ谷/御茶ノ水/神田/東京"/>
  </r>
  <r>
    <x v="0"/>
    <s v="快速"/>
    <d v="1899-12-30T06:35:00"/>
    <x v="0"/>
    <x v="0"/>
    <m/>
    <s v="四ツ谷/御茶ノ水/神田/東京"/>
  </r>
  <r>
    <x v="0"/>
    <s v="快速"/>
    <d v="1899-12-30T06:40:00"/>
    <x v="0"/>
    <x v="0"/>
    <m/>
    <s v="四ツ谷/御茶ノ水/神田/東京"/>
  </r>
  <r>
    <x v="0"/>
    <s v="中央特快"/>
    <d v="1899-12-30T06:45:00"/>
    <x v="0"/>
    <x v="0"/>
    <m/>
    <s v="四ツ谷/御茶ノ水/神田/東京"/>
  </r>
  <r>
    <x v="0"/>
    <s v="快速"/>
    <d v="1899-12-30T06:50:00"/>
    <x v="0"/>
    <x v="0"/>
    <m/>
    <s v="四ツ谷/御茶ノ水/神田/東京"/>
  </r>
  <r>
    <x v="0"/>
    <s v="快速"/>
    <d v="1899-12-30T06:57:00"/>
    <x v="0"/>
    <x v="0"/>
    <m/>
    <s v="四ツ谷/御茶ノ水/神田/東京"/>
  </r>
  <r>
    <x v="0"/>
    <s v="中央特快"/>
    <d v="1899-12-30T07:01:00"/>
    <x v="0"/>
    <x v="0"/>
    <m/>
    <s v="四ツ谷/御茶ノ水/神田/東京"/>
  </r>
  <r>
    <x v="0"/>
    <s v="快速"/>
    <d v="1899-12-30T07:07:00"/>
    <x v="0"/>
    <x v="0"/>
    <m/>
    <s v="四ツ谷/御茶ノ水/神田/東京"/>
  </r>
  <r>
    <x v="0"/>
    <s v="快速"/>
    <d v="1899-12-30T07:11:00"/>
    <x v="0"/>
    <x v="0"/>
    <m/>
    <s v="四ツ谷/御茶ノ水/神田/東京"/>
  </r>
  <r>
    <x v="0"/>
    <s v="快速"/>
    <d v="1899-12-30T07:13:00"/>
    <x v="0"/>
    <x v="0"/>
    <m/>
    <s v="四ツ谷/御茶ノ水/神田/東京"/>
  </r>
  <r>
    <x v="0"/>
    <s v="快速"/>
    <d v="1899-12-30T07:15:00"/>
    <x v="0"/>
    <x v="1"/>
    <m/>
    <s v="四ツ谷/御茶ノ水/神田/東京"/>
  </r>
  <r>
    <x v="0"/>
    <s v="快速"/>
    <d v="1899-12-30T07:17:00"/>
    <x v="0"/>
    <x v="1"/>
    <m/>
    <s v="四ツ谷/御茶ノ水/神田/東京"/>
  </r>
  <r>
    <x v="0"/>
    <s v="快速"/>
    <d v="1899-12-30T07:22:00"/>
    <x v="0"/>
    <x v="1"/>
    <m/>
    <s v="四ツ谷/御茶ノ水/神田/東京"/>
  </r>
  <r>
    <x v="0"/>
    <s v="快速"/>
    <d v="1899-12-30T07:26:00"/>
    <x v="0"/>
    <x v="1"/>
    <m/>
    <s v="四ツ谷/御茶ノ水/神田/東京"/>
  </r>
  <r>
    <x v="0"/>
    <s v="快速"/>
    <d v="1899-12-30T07:31:00"/>
    <x v="0"/>
    <x v="1"/>
    <m/>
    <s v="四ツ谷/御茶ノ水/神田/東京"/>
  </r>
  <r>
    <x v="0"/>
    <s v="快速"/>
    <d v="1899-12-30T07:34:00"/>
    <x v="0"/>
    <x v="1"/>
    <m/>
    <s v="四ツ谷/御茶ノ水/神田/東京"/>
  </r>
  <r>
    <x v="0"/>
    <s v="快速"/>
    <d v="1899-12-30T07:37:00"/>
    <x v="0"/>
    <x v="1"/>
    <m/>
    <s v="四ツ谷/御茶ノ水/神田/東京"/>
  </r>
  <r>
    <x v="0"/>
    <s v="通勤特快"/>
    <d v="1899-12-30T07:39:00"/>
    <x v="0"/>
    <x v="1"/>
    <m/>
    <s v="四ツ谷/御茶ノ水/神田/東京"/>
  </r>
  <r>
    <x v="0"/>
    <s v="快速"/>
    <d v="1899-12-30T07:41:00"/>
    <x v="0"/>
    <x v="1"/>
    <m/>
    <s v="四ツ谷/御茶ノ水/神田/東京"/>
  </r>
  <r>
    <x v="0"/>
    <s v="快速"/>
    <d v="1899-12-30T07:44:00"/>
    <x v="0"/>
    <x v="0"/>
    <m/>
    <s v="四ツ谷/御茶ノ水/神田/東京"/>
  </r>
  <r>
    <x v="0"/>
    <s v="快速"/>
    <d v="1899-12-30T07:47:00"/>
    <x v="0"/>
    <x v="1"/>
    <m/>
    <s v="四ツ谷/御茶ノ水/神田/東京"/>
  </r>
  <r>
    <x v="0"/>
    <s v="快速"/>
    <d v="1899-12-30T07:49:00"/>
    <x v="0"/>
    <x v="0"/>
    <m/>
    <s v="四ツ谷/御茶ノ水/神田/東京"/>
  </r>
  <r>
    <x v="0"/>
    <s v="快速"/>
    <d v="1899-12-30T07:51:00"/>
    <x v="0"/>
    <x v="1"/>
    <m/>
    <s v="四ツ谷/御茶ノ水/神田/東京"/>
  </r>
  <r>
    <x v="0"/>
    <s v="通勤特快"/>
    <d v="1899-12-30T07:53:00"/>
    <x v="0"/>
    <x v="0"/>
    <m/>
    <s v="四ツ谷/御茶ノ水/神田/東京"/>
  </r>
  <r>
    <x v="0"/>
    <s v="快速"/>
    <d v="1899-12-30T07:55:00"/>
    <x v="0"/>
    <x v="1"/>
    <m/>
    <s v="四ツ谷/御茶ノ水/神田/東京"/>
  </r>
  <r>
    <x v="0"/>
    <s v="快速"/>
    <d v="1899-12-30T07:58:00"/>
    <x v="0"/>
    <x v="0"/>
    <m/>
    <s v="四ツ谷/御茶ノ水/神田/東京"/>
  </r>
  <r>
    <x v="0"/>
    <s v="快速"/>
    <d v="1899-12-30T08:00:00"/>
    <x v="0"/>
    <x v="1"/>
    <m/>
    <s v="四ツ谷/御茶ノ水/神田/東京"/>
  </r>
  <r>
    <x v="0"/>
    <s v="快速"/>
    <d v="1899-12-30T08:02:00"/>
    <x v="0"/>
    <x v="0"/>
    <m/>
    <s v="四ツ谷/御茶ノ水/神田/東京"/>
  </r>
  <r>
    <x v="0"/>
    <s v="快速"/>
    <d v="1899-12-30T08:04:00"/>
    <x v="0"/>
    <x v="1"/>
    <m/>
    <s v="四ツ谷/御茶ノ水/神田/東京"/>
  </r>
  <r>
    <x v="0"/>
    <s v="快速"/>
    <d v="1899-12-30T08:06:00"/>
    <x v="0"/>
    <x v="0"/>
    <m/>
    <s v="四ツ谷/御茶ノ水/神田/東京"/>
  </r>
  <r>
    <x v="0"/>
    <s v="快速"/>
    <d v="1899-12-30T08:09:00"/>
    <x v="0"/>
    <x v="1"/>
    <m/>
    <s v="四ツ谷/御茶ノ水/神田/東京"/>
  </r>
  <r>
    <x v="0"/>
    <s v="快速"/>
    <d v="1899-12-30T08:11:00"/>
    <x v="0"/>
    <x v="0"/>
    <m/>
    <s v="四ツ谷/御茶ノ水/神田/東京"/>
  </r>
  <r>
    <x v="0"/>
    <s v="快速"/>
    <d v="1899-12-30T08:13:00"/>
    <x v="0"/>
    <x v="1"/>
    <m/>
    <s v="四ツ谷/御茶ノ水/神田/東京"/>
  </r>
  <r>
    <x v="0"/>
    <s v="快速"/>
    <d v="1899-12-30T08:15:00"/>
    <x v="0"/>
    <x v="0"/>
    <m/>
    <s v="四ツ谷/御茶ノ水/神田/東京"/>
  </r>
  <r>
    <x v="0"/>
    <s v="快速"/>
    <d v="1899-12-30T08:17:00"/>
    <x v="0"/>
    <x v="1"/>
    <m/>
    <s v="四ツ谷/御茶ノ水/神田/東京"/>
  </r>
  <r>
    <x v="0"/>
    <s v="快速"/>
    <d v="1899-12-30T08:19:00"/>
    <x v="0"/>
    <x v="0"/>
    <m/>
    <s v="四ツ谷/御茶ノ水/神田/東京"/>
  </r>
  <r>
    <x v="0"/>
    <s v="快速"/>
    <d v="1899-12-30T08:22:00"/>
    <x v="0"/>
    <x v="1"/>
    <m/>
    <s v="四ツ谷/御茶ノ水/神田/東京"/>
  </r>
  <r>
    <x v="0"/>
    <s v="快速"/>
    <d v="1899-12-30T08:24:00"/>
    <x v="0"/>
    <x v="0"/>
    <m/>
    <s v="四ツ谷/御茶ノ水/神田/東京"/>
  </r>
  <r>
    <x v="0"/>
    <s v="快速"/>
    <d v="1899-12-30T08:26:00"/>
    <x v="0"/>
    <x v="1"/>
    <m/>
    <s v="四ツ谷/御茶ノ水/神田/東京"/>
  </r>
  <r>
    <x v="0"/>
    <s v="快速"/>
    <d v="1899-12-30T08:28:00"/>
    <x v="0"/>
    <x v="0"/>
    <m/>
    <s v="四ツ谷/御茶ノ水/神田/東京"/>
  </r>
  <r>
    <x v="0"/>
    <s v="快速"/>
    <d v="1899-12-30T08:30:00"/>
    <x v="0"/>
    <x v="1"/>
    <m/>
    <s v="四ツ谷/御茶ノ水/神田/東京"/>
  </r>
  <r>
    <x v="0"/>
    <s v="快速"/>
    <d v="1899-12-30T08:32:00"/>
    <x v="0"/>
    <x v="0"/>
    <m/>
    <s v="四ツ谷/御茶ノ水/神田/東京"/>
  </r>
  <r>
    <x v="0"/>
    <s v="快速"/>
    <d v="1899-12-30T08:35:00"/>
    <x v="0"/>
    <x v="1"/>
    <m/>
    <s v="四ツ谷/御茶ノ水/神田/東京"/>
  </r>
  <r>
    <x v="0"/>
    <s v="快速"/>
    <d v="1899-12-30T08:37:00"/>
    <x v="0"/>
    <x v="0"/>
    <m/>
    <s v="四ツ谷/御茶ノ水/神田/東京"/>
  </r>
  <r>
    <x v="0"/>
    <s v="快速"/>
    <d v="1899-12-30T08:39:00"/>
    <x v="0"/>
    <x v="1"/>
    <m/>
    <s v="四ツ谷/御茶ノ水/神田/東京"/>
  </r>
  <r>
    <x v="0"/>
    <s v="快速"/>
    <d v="1899-12-30T08:41:00"/>
    <x v="0"/>
    <x v="0"/>
    <m/>
    <s v="四ツ谷/御茶ノ水/神田/東京"/>
  </r>
  <r>
    <x v="0"/>
    <s v="通勤特快"/>
    <d v="1899-12-30T08:43:00"/>
    <x v="0"/>
    <x v="1"/>
    <m/>
    <s v="四ツ谷/御茶ノ水/神田/東京"/>
  </r>
  <r>
    <x v="0"/>
    <s v="快速"/>
    <d v="1899-12-30T08:45:00"/>
    <x v="0"/>
    <x v="0"/>
    <m/>
    <s v="四ツ谷/御茶ノ水/神田/東京"/>
  </r>
  <r>
    <x v="0"/>
    <s v="快速"/>
    <d v="1899-12-30T08:47:00"/>
    <x v="0"/>
    <x v="1"/>
    <m/>
    <s v="四ツ谷/御茶ノ水/神田/東京"/>
  </r>
  <r>
    <x v="0"/>
    <s v="快速"/>
    <d v="1899-12-30T08:49:00"/>
    <x v="0"/>
    <x v="0"/>
    <m/>
    <s v="四ツ谷/御茶ノ水/神田/東京"/>
  </r>
  <r>
    <x v="0"/>
    <s v="快速"/>
    <d v="1899-12-30T08:51:00"/>
    <x v="0"/>
    <x v="1"/>
    <m/>
    <s v="四ツ谷/御茶ノ水/神田/東京"/>
  </r>
  <r>
    <x v="0"/>
    <s v="快速"/>
    <d v="1899-12-30T08:53:00"/>
    <x v="0"/>
    <x v="0"/>
    <m/>
    <s v="四ツ谷/御茶ノ水/神田/東京"/>
  </r>
  <r>
    <x v="0"/>
    <s v="快速"/>
    <d v="1899-12-30T08:55:00"/>
    <x v="0"/>
    <x v="1"/>
    <m/>
    <s v="四ツ谷/御茶ノ水/神田/東京"/>
  </r>
  <r>
    <x v="0"/>
    <s v="通勤特快"/>
    <d v="1899-12-30T08:57:00"/>
    <x v="0"/>
    <x v="0"/>
    <m/>
    <s v="四ツ谷/御茶ノ水/神田/東京"/>
  </r>
  <r>
    <x v="0"/>
    <s v="快速"/>
    <d v="1899-12-30T08:59:00"/>
    <x v="0"/>
    <x v="1"/>
    <m/>
    <s v="四ツ谷/御茶ノ水/神田/東京"/>
  </r>
  <r>
    <x v="0"/>
    <s v="快速"/>
    <d v="1899-12-30T09:01:00"/>
    <x v="0"/>
    <x v="0"/>
    <m/>
    <s v="四ツ谷/御茶ノ水/神田/東京"/>
  </r>
  <r>
    <x v="0"/>
    <s v="快速"/>
    <d v="1899-12-30T09:03:00"/>
    <x v="0"/>
    <x v="1"/>
    <m/>
    <s v="四ツ谷/御茶ノ水/神田/東京"/>
  </r>
  <r>
    <x v="0"/>
    <s v="快速"/>
    <d v="1899-12-30T09:06:00"/>
    <x v="0"/>
    <x v="0"/>
    <m/>
    <s v="四ツ谷/御茶ノ水/神田/東京"/>
  </r>
  <r>
    <x v="0"/>
    <s v="快速"/>
    <d v="1899-12-30T09:08:00"/>
    <x v="0"/>
    <x v="1"/>
    <m/>
    <s v="四ツ谷/御茶ノ水/神田/東京"/>
  </r>
  <r>
    <x v="0"/>
    <s v="快速"/>
    <d v="1899-12-30T09:10:00"/>
    <x v="0"/>
    <x v="0"/>
    <m/>
    <s v="四ツ谷/御茶ノ水/神田/東京"/>
  </r>
  <r>
    <x v="1"/>
    <s v="特急"/>
    <d v="1899-12-30T09:14:00"/>
    <x v="0"/>
    <x v="1"/>
    <m/>
    <s v="東京"/>
  </r>
  <r>
    <x v="0"/>
    <s v="快速"/>
    <d v="1899-12-30T09:16:00"/>
    <x v="0"/>
    <x v="0"/>
    <m/>
    <s v="四ツ谷/御茶ノ水/神田/東京"/>
  </r>
  <r>
    <x v="0"/>
    <s v="快速"/>
    <d v="1899-12-30T09:19:00"/>
    <x v="0"/>
    <x v="1"/>
    <m/>
    <s v="四ツ谷/御茶ノ水/神田/東京"/>
  </r>
  <r>
    <x v="0"/>
    <s v="通勤特快"/>
    <d v="1899-12-30T09:21:00"/>
    <x v="0"/>
    <x v="0"/>
    <m/>
    <s v="四ツ谷/御茶ノ水/神田/東京"/>
  </r>
  <r>
    <x v="0"/>
    <s v="快速"/>
    <d v="1899-12-30T09:23:00"/>
    <x v="0"/>
    <x v="1"/>
    <m/>
    <s v="四ツ谷/御茶ノ水/神田/東京"/>
  </r>
  <r>
    <x v="0"/>
    <s v="快速"/>
    <d v="1899-12-30T09:25:00"/>
    <x v="0"/>
    <x v="0"/>
    <m/>
    <s v="四ツ谷/御茶ノ水/神田/東京"/>
  </r>
  <r>
    <x v="0"/>
    <s v="快速"/>
    <d v="1899-12-30T09:30:00"/>
    <x v="0"/>
    <x v="1"/>
    <m/>
    <s v="四ツ谷/御茶ノ水/神田/東京"/>
  </r>
  <r>
    <x v="0"/>
    <s v="快速"/>
    <d v="1899-12-30T09:33:00"/>
    <x v="0"/>
    <x v="0"/>
    <m/>
    <s v="四ツ谷/御茶ノ水/神田/東京"/>
  </r>
  <r>
    <x v="0"/>
    <s v="快速"/>
    <d v="1899-12-30T09:37:00"/>
    <x v="0"/>
    <x v="0"/>
    <m/>
    <s v="四ツ谷/御茶ノ水/神田/東京"/>
  </r>
  <r>
    <x v="0"/>
    <s v="快速"/>
    <d v="1899-12-30T09:41:00"/>
    <x v="0"/>
    <x v="0"/>
    <m/>
    <s v="四ツ谷/御茶ノ水/神田/東京"/>
  </r>
  <r>
    <x v="0"/>
    <s v="快速"/>
    <d v="1899-12-30T09:44:00"/>
    <x v="0"/>
    <x v="0"/>
    <m/>
    <s v="四ツ谷/御茶ノ水/神田/東京"/>
  </r>
  <r>
    <x v="0"/>
    <s v="中央特快"/>
    <d v="1899-12-30T09:47:00"/>
    <x v="0"/>
    <x v="0"/>
    <m/>
    <s v="四ツ谷/御茶ノ水/神田/東京"/>
  </r>
  <r>
    <x v="0"/>
    <s v="快速"/>
    <d v="1899-12-30T09:51:00"/>
    <x v="0"/>
    <x v="0"/>
    <m/>
    <s v="四ツ谷/御茶ノ水/神田/東京"/>
  </r>
  <r>
    <x v="1"/>
    <s v="特急"/>
    <d v="1899-12-30T09:56:00"/>
    <x v="0"/>
    <x v="1"/>
    <m/>
    <s v="東京"/>
  </r>
  <r>
    <x v="0"/>
    <s v="快速"/>
    <d v="1899-12-30T09:59:00"/>
    <x v="0"/>
    <x v="0"/>
    <m/>
    <s v="四ツ谷/御茶ノ水/神田/東京"/>
  </r>
  <r>
    <x v="0"/>
    <s v="中央特快"/>
    <d v="1899-12-30T10:02:00"/>
    <x v="0"/>
    <x v="0"/>
    <m/>
    <s v="四ツ谷/御茶ノ水/神田/東京"/>
  </r>
  <r>
    <x v="0"/>
    <s v="快速"/>
    <d v="1899-12-30T10:06:00"/>
    <x v="0"/>
    <x v="0"/>
    <m/>
    <s v="四ツ谷/御茶ノ水/神田/東京"/>
  </r>
  <r>
    <x v="0"/>
    <s v="快速"/>
    <d v="1899-12-30T10:11:00"/>
    <x v="0"/>
    <x v="0"/>
    <m/>
    <s v="四ツ谷/御茶ノ水/神田/東京"/>
  </r>
  <r>
    <x v="0"/>
    <s v="快速"/>
    <d v="1899-12-30T10:14:00"/>
    <x v="0"/>
    <x v="0"/>
    <m/>
    <s v="四ツ谷/御茶ノ水/神田/東京"/>
  </r>
  <r>
    <x v="0"/>
    <s v="中央特快"/>
    <d v="1899-12-30T10:19:00"/>
    <x v="0"/>
    <x v="0"/>
    <m/>
    <s v="四ツ谷/御茶ノ水/神田/東京"/>
  </r>
  <r>
    <x v="0"/>
    <s v="快速"/>
    <d v="1899-12-30T10:24:00"/>
    <x v="0"/>
    <x v="0"/>
    <m/>
    <s v="四ツ谷/御茶ノ水/神田/東京"/>
  </r>
  <r>
    <x v="0"/>
    <s v="快速"/>
    <d v="1899-12-30T10:29:00"/>
    <x v="0"/>
    <x v="0"/>
    <m/>
    <s v="四ツ谷/御茶ノ水/神田/東京"/>
  </r>
  <r>
    <x v="0"/>
    <s v="青梅特快"/>
    <d v="1899-12-30T10:32:00"/>
    <x v="0"/>
    <x v="0"/>
    <m/>
    <s v="四ツ谷/御茶ノ水/神田/東京"/>
  </r>
  <r>
    <x v="0"/>
    <s v="快速"/>
    <d v="1899-12-30T10:37:00"/>
    <x v="0"/>
    <x v="0"/>
    <m/>
    <s v="四ツ谷/御茶ノ水/神田/東京"/>
  </r>
  <r>
    <x v="1"/>
    <s v="特急"/>
    <d v="1899-12-30T10:40:00"/>
    <x v="0"/>
    <x v="2"/>
    <m/>
    <s v="東京"/>
  </r>
  <r>
    <x v="0"/>
    <s v="快速"/>
    <d v="1899-12-30T10:42:00"/>
    <x v="0"/>
    <x v="0"/>
    <m/>
    <s v="四ツ谷/御茶ノ水/神田/東京"/>
  </r>
  <r>
    <x v="0"/>
    <s v="中央特快"/>
    <d v="1899-12-30T10:46:00"/>
    <x v="0"/>
    <x v="0"/>
    <m/>
    <s v="四ツ谷/御茶ノ水/神田/東京"/>
  </r>
  <r>
    <x v="0"/>
    <s v="快速"/>
    <d v="1899-12-30T10:50:00"/>
    <x v="0"/>
    <x v="0"/>
    <m/>
    <s v="四ツ谷/御茶ノ水/神田/東京"/>
  </r>
  <r>
    <x v="0"/>
    <s v="快速"/>
    <d v="1899-12-30T10:52:00"/>
    <x v="0"/>
    <x v="0"/>
    <m/>
    <s v="四ツ谷/御茶ノ水/神田/東京"/>
  </r>
  <r>
    <x v="0"/>
    <s v="快速"/>
    <d v="1899-12-30T10:54:00"/>
    <x v="0"/>
    <x v="0"/>
    <m/>
    <s v="四ツ谷/御茶ノ水/神田/東京"/>
  </r>
  <r>
    <x v="0"/>
    <s v="中央特快"/>
    <d v="1899-12-30T10:59:00"/>
    <x v="0"/>
    <x v="0"/>
    <m/>
    <s v="四ツ谷/御茶ノ水/神田/東京"/>
  </r>
  <r>
    <x v="0"/>
    <s v="快速"/>
    <d v="1899-12-30T11:05:00"/>
    <x v="0"/>
    <x v="0"/>
    <m/>
    <s v="四ツ谷/御茶ノ水/神田/東京"/>
  </r>
  <r>
    <x v="0"/>
    <s v="快速"/>
    <d v="1899-12-30T11:10:00"/>
    <x v="0"/>
    <x v="0"/>
    <m/>
    <s v="四ツ谷/御茶ノ水/神田/東京"/>
  </r>
  <r>
    <x v="0"/>
    <s v="中央特快"/>
    <d v="1899-12-30T11:14:00"/>
    <x v="0"/>
    <x v="0"/>
    <m/>
    <s v="四ツ谷/御茶ノ水/神田/東京"/>
  </r>
  <r>
    <x v="0"/>
    <s v="快速"/>
    <d v="1899-12-30T11:19:00"/>
    <x v="0"/>
    <x v="0"/>
    <m/>
    <s v="四ツ谷/御茶ノ水/神田/東京"/>
  </r>
  <r>
    <x v="0"/>
    <s v="快速"/>
    <d v="1899-12-30T11:22:00"/>
    <x v="0"/>
    <x v="0"/>
    <m/>
    <s v="四ツ谷/御茶ノ水/神田/東京"/>
  </r>
  <r>
    <x v="0"/>
    <s v="快速"/>
    <d v="1899-12-30T11:24:00"/>
    <x v="0"/>
    <x v="0"/>
    <m/>
    <s v="四ツ谷/御茶ノ水/神田/東京"/>
  </r>
  <r>
    <x v="0"/>
    <s v="青梅特快"/>
    <d v="1899-12-30T11:29:00"/>
    <x v="0"/>
    <x v="0"/>
    <m/>
    <s v="四ツ谷/御茶ノ水/神田/東京"/>
  </r>
  <r>
    <x v="0"/>
    <s v="快速"/>
    <d v="1899-12-30T11:35:00"/>
    <x v="0"/>
    <x v="0"/>
    <m/>
    <s v="四ツ谷/御茶ノ水/神田/東京"/>
  </r>
  <r>
    <x v="1"/>
    <s v="特急"/>
    <d v="1899-12-30T11:37:00"/>
    <x v="0"/>
    <x v="0"/>
    <m/>
    <s v="東京"/>
  </r>
  <r>
    <x v="0"/>
    <s v="快速"/>
    <d v="1899-12-30T11:41:00"/>
    <x v="0"/>
    <x v="0"/>
    <m/>
    <s v="四ツ谷/御茶ノ水/神田/東京"/>
  </r>
  <r>
    <x v="0"/>
    <s v="中央特快"/>
    <d v="1899-12-30T11:44:00"/>
    <x v="0"/>
    <x v="0"/>
    <m/>
    <s v="四ツ谷/御茶ノ水/神田/東京"/>
  </r>
  <r>
    <x v="0"/>
    <s v="快速"/>
    <d v="1899-12-30T11:48:00"/>
    <x v="0"/>
    <x v="0"/>
    <m/>
    <s v="四ツ谷/御茶ノ水/神田/東京"/>
  </r>
  <r>
    <x v="0"/>
    <s v="青梅特快"/>
    <d v="1899-12-30T11:51:00"/>
    <x v="0"/>
    <x v="0"/>
    <m/>
    <s v="四ツ谷/御茶ノ水/神田/東京"/>
  </r>
  <r>
    <x v="0"/>
    <s v="快速"/>
    <d v="1899-12-30T11:55:00"/>
    <x v="0"/>
    <x v="0"/>
    <m/>
    <s v="四ツ谷/御茶ノ水/神田/東京"/>
  </r>
  <r>
    <x v="0"/>
    <s v="中央特快"/>
    <d v="1899-12-30T11:58:00"/>
    <x v="0"/>
    <x v="0"/>
    <m/>
    <s v="四ツ谷/御茶ノ水/神田/東京"/>
  </r>
  <r>
    <x v="0"/>
    <s v="快速"/>
    <d v="1899-12-30T12:05:00"/>
    <x v="0"/>
    <x v="0"/>
    <m/>
    <s v="四ツ谷/御茶ノ水/神田/東京"/>
  </r>
  <r>
    <x v="0"/>
    <s v="快速"/>
    <d v="1899-12-30T12:10:00"/>
    <x v="0"/>
    <x v="0"/>
    <m/>
    <s v="四ツ谷/御茶ノ水/神田/東京"/>
  </r>
  <r>
    <x v="0"/>
    <s v="中央特快"/>
    <d v="1899-12-30T12:14:00"/>
    <x v="0"/>
    <x v="0"/>
    <m/>
    <s v="四ツ谷/御茶ノ水/神田/東京"/>
  </r>
  <r>
    <x v="0"/>
    <s v="快速"/>
    <d v="1899-12-30T12:17:00"/>
    <x v="0"/>
    <x v="0"/>
    <m/>
    <s v="四ツ谷/御茶ノ水/神田/東京"/>
  </r>
  <r>
    <x v="0"/>
    <s v="快速"/>
    <d v="1899-12-30T12:21:00"/>
    <x v="0"/>
    <x v="0"/>
    <m/>
    <s v="四ツ谷/御茶ノ水/神田/東京"/>
  </r>
  <r>
    <x v="0"/>
    <s v="快速"/>
    <d v="1899-12-30T12:24:00"/>
    <x v="0"/>
    <x v="0"/>
    <m/>
    <s v="四ツ谷/御茶ノ水/神田/東京"/>
  </r>
  <r>
    <x v="0"/>
    <s v="中央特快"/>
    <d v="1899-12-30T12:28:00"/>
    <x v="0"/>
    <x v="0"/>
    <m/>
    <s v="四ツ谷/御茶ノ水/神田/東京"/>
  </r>
  <r>
    <x v="0"/>
    <s v="快速"/>
    <d v="1899-12-30T12:35:00"/>
    <x v="0"/>
    <x v="0"/>
    <m/>
    <s v="四ツ谷/御茶ノ水/神田/東京"/>
  </r>
  <r>
    <x v="0"/>
    <s v="快速"/>
    <d v="1899-12-30T12:40:00"/>
    <x v="0"/>
    <x v="0"/>
    <m/>
    <s v="四ツ谷/御茶ノ水/神田/東京"/>
  </r>
  <r>
    <x v="0"/>
    <s v="中央特快"/>
    <d v="1899-12-30T12:44:00"/>
    <x v="0"/>
    <x v="0"/>
    <m/>
    <s v="四ツ谷/御茶ノ水/神田/東京"/>
  </r>
  <r>
    <x v="0"/>
    <s v="快速"/>
    <d v="1899-12-30T12:48:00"/>
    <x v="0"/>
    <x v="0"/>
    <m/>
    <s v="四ツ谷/御茶ノ水/神田/東京"/>
  </r>
  <r>
    <x v="0"/>
    <s v="青梅特快"/>
    <d v="1899-12-30T12:52:00"/>
    <x v="0"/>
    <x v="0"/>
    <m/>
    <s v="四ツ谷/御茶ノ水/神田/東京"/>
  </r>
  <r>
    <x v="0"/>
    <s v="快速"/>
    <d v="1899-12-30T12:55:00"/>
    <x v="0"/>
    <x v="0"/>
    <m/>
    <s v="四ツ谷/御茶ノ水/神田/東京"/>
  </r>
  <r>
    <x v="0"/>
    <s v="中央特快"/>
    <d v="1899-12-30T12:59:00"/>
    <x v="0"/>
    <x v="0"/>
    <m/>
    <s v="四ツ谷/御茶ノ水/神田/東京"/>
  </r>
  <r>
    <x v="0"/>
    <s v="快速"/>
    <d v="1899-12-30T13:05:00"/>
    <x v="0"/>
    <x v="0"/>
    <m/>
    <s v="四ツ谷/御茶ノ水/神田/東京"/>
  </r>
  <r>
    <x v="0"/>
    <s v="快速"/>
    <d v="1899-12-30T13:10:00"/>
    <x v="0"/>
    <x v="0"/>
    <m/>
    <s v="四ツ谷/御茶ノ水/神田/東京"/>
  </r>
  <r>
    <x v="0"/>
    <s v="中央特快"/>
    <d v="1899-12-30T13:14:00"/>
    <x v="0"/>
    <x v="0"/>
    <m/>
    <s v="四ツ谷/御茶ノ水/神田/東京"/>
  </r>
  <r>
    <x v="0"/>
    <s v="快速"/>
    <d v="1899-12-30T13:18:00"/>
    <x v="0"/>
    <x v="0"/>
    <m/>
    <s v="四ツ谷/御茶ノ水/神田/東京"/>
  </r>
  <r>
    <x v="0"/>
    <s v="快速"/>
    <d v="1899-12-30T13:21:00"/>
    <x v="0"/>
    <x v="0"/>
    <m/>
    <s v="四ツ谷/御茶ノ水/神田/東京"/>
  </r>
  <r>
    <x v="0"/>
    <s v="快速"/>
    <d v="1899-12-30T13:24:00"/>
    <x v="0"/>
    <x v="0"/>
    <m/>
    <s v="四ツ谷/御茶ノ水/神田/東京"/>
  </r>
  <r>
    <x v="0"/>
    <s v="中央特快"/>
    <d v="1899-12-30T13:28:00"/>
    <x v="0"/>
    <x v="0"/>
    <m/>
    <s v="四ツ谷/御茶ノ水/神田/東京"/>
  </r>
  <r>
    <x v="0"/>
    <s v="快速"/>
    <d v="1899-12-30T13:35:00"/>
    <x v="0"/>
    <x v="0"/>
    <m/>
    <s v="四ツ谷/御茶ノ水/神田/東京"/>
  </r>
  <r>
    <x v="0"/>
    <s v="快速"/>
    <d v="1899-12-30T13:40:00"/>
    <x v="0"/>
    <x v="0"/>
    <m/>
    <s v="四ツ谷/御茶ノ水/神田/東京"/>
  </r>
  <r>
    <x v="0"/>
    <s v="中央特快"/>
    <d v="1899-12-30T13:43:00"/>
    <x v="0"/>
    <x v="0"/>
    <m/>
    <s v="四ツ谷/御茶ノ水/神田/東京"/>
  </r>
  <r>
    <x v="0"/>
    <s v="快速"/>
    <d v="1899-12-30T13:48:00"/>
    <x v="0"/>
    <x v="0"/>
    <m/>
    <s v="四ツ谷/御茶ノ水/神田/東京"/>
  </r>
  <r>
    <x v="0"/>
    <s v="青梅特快"/>
    <d v="1899-12-30T13:53:00"/>
    <x v="0"/>
    <x v="0"/>
    <m/>
    <s v="四ツ谷/御茶ノ水/神田/東京"/>
  </r>
  <r>
    <x v="0"/>
    <s v="快速"/>
    <d v="1899-12-30T13:55:00"/>
    <x v="0"/>
    <x v="0"/>
    <m/>
    <s v="四ツ谷/御茶ノ水/神田/東京"/>
  </r>
  <r>
    <x v="0"/>
    <s v="中央特快"/>
    <d v="1899-12-30T13:58:00"/>
    <x v="0"/>
    <x v="0"/>
    <m/>
    <s v="四ツ谷/御茶ノ水/神田/東京"/>
  </r>
  <r>
    <x v="0"/>
    <s v="快速"/>
    <d v="1899-12-30T14:04:00"/>
    <x v="0"/>
    <x v="0"/>
    <m/>
    <s v="四ツ谷/御茶ノ水/神田/東京"/>
  </r>
  <r>
    <x v="0"/>
    <s v="快速"/>
    <d v="1899-12-30T14:11:00"/>
    <x v="0"/>
    <x v="0"/>
    <m/>
    <s v="四ツ谷/御茶ノ水/神田/東京"/>
  </r>
  <r>
    <x v="0"/>
    <s v="中央特快"/>
    <d v="1899-12-30T14:14:00"/>
    <x v="0"/>
    <x v="0"/>
    <m/>
    <s v="四ツ谷/御茶ノ水/神田/東京"/>
  </r>
  <r>
    <x v="0"/>
    <s v="快速"/>
    <d v="1899-12-30T14:18:00"/>
    <x v="0"/>
    <x v="0"/>
    <m/>
    <s v="四ツ谷/御茶ノ水/神田/東京"/>
  </r>
  <r>
    <x v="0"/>
    <s v="快速"/>
    <d v="1899-12-30T14:21:00"/>
    <x v="0"/>
    <x v="0"/>
    <m/>
    <s v="四ツ谷/御茶ノ水/神田/東京"/>
  </r>
  <r>
    <x v="0"/>
    <s v="快速"/>
    <d v="1899-12-30T14:24:00"/>
    <x v="0"/>
    <x v="0"/>
    <m/>
    <s v="四ツ谷/御茶ノ水/神田/東京"/>
  </r>
  <r>
    <x v="0"/>
    <s v="中央特快"/>
    <d v="1899-12-30T14:28:00"/>
    <x v="0"/>
    <x v="0"/>
    <m/>
    <s v="四ツ谷/御茶ノ水/神田/東京"/>
  </r>
  <r>
    <x v="0"/>
    <s v="快速"/>
    <d v="1899-12-30T14:33:00"/>
    <x v="0"/>
    <x v="0"/>
    <m/>
    <s v="四ツ谷/御茶ノ水/神田/東京"/>
  </r>
  <r>
    <x v="0"/>
    <s v="中央特快"/>
    <d v="1899-12-30T14:37:00"/>
    <x v="0"/>
    <x v="0"/>
    <m/>
    <s v="四ツ谷/御茶ノ水/神田/東京"/>
  </r>
  <r>
    <x v="0"/>
    <s v="快速"/>
    <d v="1899-12-30T14:44:00"/>
    <x v="0"/>
    <x v="0"/>
    <m/>
    <s v="四ツ谷/御茶ノ水/神田/東京"/>
  </r>
  <r>
    <x v="0"/>
    <s v="快速"/>
    <d v="1899-12-30T14:48:00"/>
    <x v="0"/>
    <x v="0"/>
    <m/>
    <s v="四ツ谷/御茶ノ水/神田/東京"/>
  </r>
  <r>
    <x v="0"/>
    <s v="青梅特快"/>
    <d v="1899-12-30T14:52:00"/>
    <x v="0"/>
    <x v="0"/>
    <m/>
    <s v="四ツ谷/御茶ノ水/神田/東京"/>
  </r>
  <r>
    <x v="0"/>
    <s v="快速"/>
    <d v="1899-12-30T14:56:00"/>
    <x v="0"/>
    <x v="0"/>
    <m/>
    <s v="四ツ谷/御茶ノ水/神田/東京"/>
  </r>
  <r>
    <x v="0"/>
    <s v="中央特快"/>
    <d v="1899-12-30T15:01:00"/>
    <x v="0"/>
    <x v="0"/>
    <m/>
    <s v="四ツ谷/御茶ノ水/神田/東京"/>
  </r>
  <r>
    <x v="0"/>
    <s v="快速"/>
    <d v="1899-12-30T15:05:00"/>
    <x v="0"/>
    <x v="0"/>
    <m/>
    <s v="四ツ谷/御茶ノ水/神田/東京"/>
  </r>
  <r>
    <x v="0"/>
    <s v="快速"/>
    <d v="1899-12-30T15:10:00"/>
    <x v="0"/>
    <x v="0"/>
    <m/>
    <s v="四ツ谷/御茶ノ水/神田/東京"/>
  </r>
  <r>
    <x v="0"/>
    <s v="中央特快"/>
    <d v="1899-12-30T15:14:00"/>
    <x v="0"/>
    <x v="0"/>
    <m/>
    <s v="四ツ谷/御茶ノ水/神田/東京"/>
  </r>
  <r>
    <x v="0"/>
    <s v="快速"/>
    <d v="1899-12-30T15:17:00"/>
    <x v="0"/>
    <x v="0"/>
    <m/>
    <s v="四ツ谷/御茶ノ水/神田/東京"/>
  </r>
  <r>
    <x v="0"/>
    <s v="快速"/>
    <d v="1899-12-30T15:21:00"/>
    <x v="0"/>
    <x v="0"/>
    <m/>
    <s v="四ツ谷/御茶ノ水/神田/東京"/>
  </r>
  <r>
    <x v="0"/>
    <s v="快速"/>
    <d v="1899-12-30T15:24:00"/>
    <x v="0"/>
    <x v="0"/>
    <m/>
    <s v="四ツ谷/御茶ノ水/神田/東京"/>
  </r>
  <r>
    <x v="0"/>
    <s v="中央特快"/>
    <d v="1899-12-30T15:28:00"/>
    <x v="0"/>
    <x v="0"/>
    <m/>
    <s v="四ツ谷/御茶ノ水/神田/東京"/>
  </r>
  <r>
    <x v="0"/>
    <s v="快速"/>
    <d v="1899-12-30T15:35:00"/>
    <x v="0"/>
    <x v="0"/>
    <m/>
    <s v="四ツ谷/御茶ノ水/神田/東京"/>
  </r>
  <r>
    <x v="0"/>
    <s v="快速"/>
    <d v="1899-12-30T15:40:00"/>
    <x v="0"/>
    <x v="0"/>
    <m/>
    <s v="四ツ谷/御茶ノ水/神田/東京"/>
  </r>
  <r>
    <x v="0"/>
    <s v="中央特快"/>
    <d v="1899-12-30T15:44:00"/>
    <x v="0"/>
    <x v="0"/>
    <m/>
    <s v="四ツ谷/御茶ノ水/神田/東京"/>
  </r>
  <r>
    <x v="0"/>
    <s v="快速"/>
    <d v="1899-12-30T15:48:00"/>
    <x v="0"/>
    <x v="0"/>
    <m/>
    <s v="四ツ谷/御茶ノ水/神田/東京"/>
  </r>
  <r>
    <x v="0"/>
    <s v="青梅特快"/>
    <d v="1899-12-30T15:51:00"/>
    <x v="0"/>
    <x v="0"/>
    <m/>
    <s v="四ツ谷/御茶ノ水/神田/東京"/>
  </r>
  <r>
    <x v="0"/>
    <s v="快速"/>
    <d v="1899-12-30T15:56:00"/>
    <x v="0"/>
    <x v="0"/>
    <m/>
    <s v="四ツ谷/御茶ノ水/神田/東京"/>
  </r>
  <r>
    <x v="0"/>
    <s v="中央特快"/>
    <d v="1899-12-30T16:01:00"/>
    <x v="0"/>
    <x v="0"/>
    <m/>
    <s v="四ツ谷/御茶ノ水/神田/東京"/>
  </r>
  <r>
    <x v="0"/>
    <s v="快速"/>
    <d v="1899-12-30T16:05:00"/>
    <x v="0"/>
    <x v="1"/>
    <m/>
    <s v="四ツ谷/御茶ノ水/神田/東京"/>
  </r>
  <r>
    <x v="0"/>
    <s v="快速"/>
    <d v="1899-12-30T16:11:00"/>
    <x v="0"/>
    <x v="0"/>
    <m/>
    <s v="四ツ谷/御茶ノ水/神田/東京"/>
  </r>
  <r>
    <x v="0"/>
    <s v="中央特快"/>
    <d v="1899-12-30T16:15:00"/>
    <x v="0"/>
    <x v="0"/>
    <m/>
    <s v="四ツ谷/御茶ノ水/神田/東京"/>
  </r>
  <r>
    <x v="0"/>
    <s v="快速"/>
    <d v="1899-12-30T16:19:00"/>
    <x v="0"/>
    <x v="0"/>
    <m/>
    <s v="四ツ谷/御茶ノ水/神田/東京"/>
  </r>
  <r>
    <x v="0"/>
    <s v="快速"/>
    <d v="1899-12-30T16:21:00"/>
    <x v="0"/>
    <x v="0"/>
    <m/>
    <s v="四ツ谷/御茶ノ水/神田/東京"/>
  </r>
  <r>
    <x v="0"/>
    <s v="中央特快"/>
    <d v="1899-12-30T16:24:00"/>
    <x v="0"/>
    <x v="0"/>
    <m/>
    <s v="四ツ谷/御茶ノ水/神田/東京"/>
  </r>
  <r>
    <x v="0"/>
    <s v="快速"/>
    <d v="1899-12-30T16:30:00"/>
    <x v="0"/>
    <x v="0"/>
    <m/>
    <s v="四ツ谷/御茶ノ水/神田/東京"/>
  </r>
  <r>
    <x v="0"/>
    <s v="快速"/>
    <d v="1899-12-30T16:33:00"/>
    <x v="0"/>
    <x v="0"/>
    <m/>
    <s v="四ツ谷/御茶ノ水/神田/東京"/>
  </r>
  <r>
    <x v="0"/>
    <s v="快速"/>
    <d v="1899-12-30T16:39:00"/>
    <x v="0"/>
    <x v="0"/>
    <m/>
    <s v="四ツ谷/御茶ノ水/神田/東京"/>
  </r>
  <r>
    <x v="0"/>
    <s v="快速"/>
    <d v="1899-12-30T16:44:00"/>
    <x v="0"/>
    <x v="0"/>
    <m/>
    <s v="四ツ谷/御茶ノ水/神田/東京"/>
  </r>
  <r>
    <x v="0"/>
    <s v="快速"/>
    <d v="1899-12-30T16:47:00"/>
    <x v="0"/>
    <x v="0"/>
    <m/>
    <s v="四ツ谷/御茶ノ水/神田/東京"/>
  </r>
  <r>
    <x v="0"/>
    <s v="快速"/>
    <d v="1899-12-30T16:49:00"/>
    <x v="0"/>
    <x v="0"/>
    <m/>
    <s v="四ツ谷/御茶ノ水/神田/東京"/>
  </r>
  <r>
    <x v="0"/>
    <s v="中央特快"/>
    <d v="1899-12-30T16:52:00"/>
    <x v="0"/>
    <x v="0"/>
    <m/>
    <s v="四ツ谷/御茶ノ水/神田/東京"/>
  </r>
  <r>
    <x v="0"/>
    <s v="快速"/>
    <d v="1899-12-30T16:54:00"/>
    <x v="0"/>
    <x v="0"/>
    <m/>
    <s v="四ツ谷/御茶ノ水/神田/東京"/>
  </r>
  <r>
    <x v="0"/>
    <s v="快速"/>
    <d v="1899-12-30T16:57:00"/>
    <x v="0"/>
    <x v="0"/>
    <m/>
    <s v="四ツ谷/御茶ノ水/神田/東京"/>
  </r>
  <r>
    <x v="0"/>
    <s v="快速"/>
    <d v="1899-12-30T17:00:00"/>
    <x v="0"/>
    <x v="0"/>
    <m/>
    <s v="四ツ谷/御茶ノ水/神田/東京"/>
  </r>
  <r>
    <x v="0"/>
    <s v="快速"/>
    <d v="1899-12-30T17:05:00"/>
    <x v="0"/>
    <x v="0"/>
    <m/>
    <s v="四ツ谷/御茶ノ水/神田/東京"/>
  </r>
  <r>
    <x v="0"/>
    <s v="快速"/>
    <d v="1899-12-30T17:09:00"/>
    <x v="0"/>
    <x v="0"/>
    <m/>
    <s v="四ツ谷/御茶ノ水/神田/東京"/>
  </r>
  <r>
    <x v="0"/>
    <s v="快速"/>
    <d v="1899-12-30T17:11:00"/>
    <x v="0"/>
    <x v="0"/>
    <m/>
    <s v="四ツ谷/御茶ノ水/神田/東京"/>
  </r>
  <r>
    <x v="0"/>
    <s v="快速"/>
    <d v="1899-12-30T17:13:00"/>
    <x v="0"/>
    <x v="0"/>
    <m/>
    <s v="四ツ谷/御茶ノ水/神田/東京"/>
  </r>
  <r>
    <x v="0"/>
    <s v="快速"/>
    <d v="1899-12-30T17:15:00"/>
    <x v="0"/>
    <x v="0"/>
    <m/>
    <s v="四ツ谷/御茶ノ水/神田/東京"/>
  </r>
  <r>
    <x v="0"/>
    <s v="快速"/>
    <d v="1899-12-30T17:18:00"/>
    <x v="0"/>
    <x v="0"/>
    <m/>
    <s v="四ツ谷/御茶ノ水/神田/東京"/>
  </r>
  <r>
    <x v="0"/>
    <s v="中央特快"/>
    <d v="1899-12-30T17:21:00"/>
    <x v="0"/>
    <x v="0"/>
    <m/>
    <s v="四ツ谷/御茶ノ水/神田/東京"/>
  </r>
  <r>
    <x v="0"/>
    <s v="快速"/>
    <d v="1899-12-30T17:24:00"/>
    <x v="0"/>
    <x v="0"/>
    <m/>
    <s v="四ツ谷/御茶ノ水/神田/東京"/>
  </r>
  <r>
    <x v="0"/>
    <s v="快速"/>
    <d v="1899-12-30T17:28:00"/>
    <x v="0"/>
    <x v="0"/>
    <m/>
    <s v="四ツ谷/御茶ノ水/神田/東京"/>
  </r>
  <r>
    <x v="0"/>
    <s v="快速"/>
    <d v="1899-12-30T17:30:00"/>
    <x v="0"/>
    <x v="0"/>
    <m/>
    <s v="四ツ谷/御茶ノ水/神田/東京"/>
  </r>
  <r>
    <x v="0"/>
    <s v="快速"/>
    <d v="1899-12-30T17:33:00"/>
    <x v="0"/>
    <x v="0"/>
    <m/>
    <s v="四ツ谷/御茶ノ水/神田/東京"/>
  </r>
  <r>
    <x v="0"/>
    <s v="快速"/>
    <d v="1899-12-30T17:36:00"/>
    <x v="0"/>
    <x v="0"/>
    <m/>
    <s v="四ツ谷/御茶ノ水/神田/東京"/>
  </r>
  <r>
    <x v="0"/>
    <s v="快速"/>
    <d v="1899-12-30T17:39:00"/>
    <x v="0"/>
    <x v="0"/>
    <m/>
    <s v="四ツ谷/御茶ノ水/神田/東京"/>
  </r>
  <r>
    <x v="0"/>
    <s v="快速"/>
    <d v="1899-12-30T17:41:00"/>
    <x v="0"/>
    <x v="0"/>
    <m/>
    <s v="四ツ谷/御茶ノ水/神田/東京"/>
  </r>
  <r>
    <x v="0"/>
    <s v="中央特快"/>
    <d v="1899-12-30T17:46:00"/>
    <x v="0"/>
    <x v="0"/>
    <m/>
    <s v="四ツ谷/御茶ノ水/神田/東京"/>
  </r>
  <r>
    <x v="0"/>
    <s v="快速"/>
    <d v="1899-12-30T17:48:00"/>
    <x v="0"/>
    <x v="0"/>
    <m/>
    <s v="四ツ谷/御茶ノ水/神田/東京"/>
  </r>
  <r>
    <x v="0"/>
    <s v="快速"/>
    <d v="1899-12-30T17:51:00"/>
    <x v="0"/>
    <x v="0"/>
    <m/>
    <s v="四ツ谷/御茶ノ水/神田/東京"/>
  </r>
  <r>
    <x v="0"/>
    <s v="快速"/>
    <d v="1899-12-30T17:55:00"/>
    <x v="0"/>
    <x v="0"/>
    <m/>
    <s v="四ツ谷/御茶ノ水/神田/東京"/>
  </r>
  <r>
    <x v="0"/>
    <s v="快速"/>
    <d v="1899-12-30T17:57:00"/>
    <x v="0"/>
    <x v="0"/>
    <m/>
    <s v="四ツ谷/御茶ノ水/神田/東京"/>
  </r>
  <r>
    <x v="0"/>
    <s v="快速"/>
    <d v="1899-12-30T18:00:00"/>
    <x v="0"/>
    <x v="0"/>
    <m/>
    <s v="四ツ谷/御茶ノ水/神田/東京"/>
  </r>
  <r>
    <x v="0"/>
    <s v="快速"/>
    <d v="1899-12-30T18:03:00"/>
    <x v="0"/>
    <x v="0"/>
    <m/>
    <s v="四ツ谷/御茶ノ水/神田/東京"/>
  </r>
  <r>
    <x v="0"/>
    <s v="快速"/>
    <d v="1899-12-30T18:06:00"/>
    <x v="0"/>
    <x v="0"/>
    <m/>
    <s v="四ツ谷/御茶ノ水/神田/東京"/>
  </r>
  <r>
    <x v="0"/>
    <s v="快速"/>
    <d v="1899-12-30T18:10:00"/>
    <x v="0"/>
    <x v="0"/>
    <m/>
    <s v="四ツ谷/御茶ノ水/神田/東京"/>
  </r>
  <r>
    <x v="0"/>
    <s v="快速"/>
    <d v="1899-12-30T18:12:00"/>
    <x v="0"/>
    <x v="0"/>
    <m/>
    <s v="四ツ谷/御茶ノ水/神田/東京"/>
  </r>
  <r>
    <x v="0"/>
    <s v="快速"/>
    <d v="1899-12-30T18:16:00"/>
    <x v="0"/>
    <x v="0"/>
    <m/>
    <s v="四ツ谷/御茶ノ水/神田/東京"/>
  </r>
  <r>
    <x v="0"/>
    <s v="中央特快"/>
    <d v="1899-12-30T18:19:00"/>
    <x v="0"/>
    <x v="0"/>
    <m/>
    <s v="四ツ谷/御茶ノ水/神田/東京"/>
  </r>
  <r>
    <x v="0"/>
    <s v="快速"/>
    <d v="1899-12-30T18:22:00"/>
    <x v="0"/>
    <x v="0"/>
    <m/>
    <s v="四ツ谷/御茶ノ水/神田/東京"/>
  </r>
  <r>
    <x v="0"/>
    <s v="快速"/>
    <d v="1899-12-30T18:26:00"/>
    <x v="0"/>
    <x v="0"/>
    <m/>
    <s v="四ツ谷/御茶ノ水/神田/東京"/>
  </r>
  <r>
    <x v="0"/>
    <s v="快速"/>
    <d v="1899-12-30T18:30:00"/>
    <x v="0"/>
    <x v="0"/>
    <m/>
    <s v="四ツ谷/御茶ノ水/神田/東京"/>
  </r>
  <r>
    <x v="0"/>
    <s v="快速"/>
    <d v="1899-12-30T18:34:00"/>
    <x v="0"/>
    <x v="0"/>
    <m/>
    <s v="四ツ谷/御茶ノ水/神田/東京"/>
  </r>
  <r>
    <x v="0"/>
    <s v="快速"/>
    <d v="1899-12-30T18:38:00"/>
    <x v="0"/>
    <x v="0"/>
    <m/>
    <s v="四ツ谷/御茶ノ水/神田/東京"/>
  </r>
  <r>
    <x v="0"/>
    <s v="快速"/>
    <d v="1899-12-30T18:42:00"/>
    <x v="0"/>
    <x v="0"/>
    <m/>
    <s v="四ツ谷/御茶ノ水/神田/東京"/>
  </r>
  <r>
    <x v="0"/>
    <s v="快速"/>
    <d v="1899-12-30T18:46:00"/>
    <x v="0"/>
    <x v="0"/>
    <m/>
    <s v="四ツ谷/御茶ノ水/神田/東京"/>
  </r>
  <r>
    <x v="0"/>
    <s v="快速"/>
    <d v="1899-12-30T18:49:00"/>
    <x v="0"/>
    <x v="0"/>
    <m/>
    <s v="四ツ谷/御茶ノ水/神田/東京"/>
  </r>
  <r>
    <x v="0"/>
    <s v="中央特快"/>
    <d v="1899-12-30T18:51:00"/>
    <x v="0"/>
    <x v="0"/>
    <m/>
    <s v="四ツ谷/御茶ノ水/神田/東京"/>
  </r>
  <r>
    <x v="0"/>
    <s v="快速"/>
    <d v="1899-12-30T18:53:00"/>
    <x v="0"/>
    <x v="0"/>
    <m/>
    <s v="四ツ谷/御茶ノ水/神田/東京"/>
  </r>
  <r>
    <x v="0"/>
    <s v="快速"/>
    <d v="1899-12-30T18:57:00"/>
    <x v="0"/>
    <x v="0"/>
    <m/>
    <s v="四ツ谷/御茶ノ水/神田/東京"/>
  </r>
  <r>
    <x v="0"/>
    <s v="快速"/>
    <d v="1899-12-30T18:59:00"/>
    <x v="0"/>
    <x v="0"/>
    <m/>
    <s v="四ツ谷/御茶ノ水/神田/東京"/>
  </r>
  <r>
    <x v="0"/>
    <s v="快速"/>
    <d v="1899-12-30T19:04:00"/>
    <x v="0"/>
    <x v="0"/>
    <m/>
    <s v="四ツ谷/御茶ノ水/神田/東京"/>
  </r>
  <r>
    <x v="0"/>
    <s v="快速"/>
    <d v="1899-12-30T19:08:00"/>
    <x v="0"/>
    <x v="0"/>
    <m/>
    <s v="四ツ谷/御茶ノ水/神田/東京"/>
  </r>
  <r>
    <x v="0"/>
    <s v="快速"/>
    <d v="1899-12-30T19:12:00"/>
    <x v="0"/>
    <x v="0"/>
    <m/>
    <s v="四ツ谷/御茶ノ水/神田/東京"/>
  </r>
  <r>
    <x v="0"/>
    <s v="青梅特快"/>
    <d v="1899-12-30T19:15:00"/>
    <x v="0"/>
    <x v="0"/>
    <m/>
    <s v="四ツ谷/御茶ノ水/神田/東京"/>
  </r>
  <r>
    <x v="0"/>
    <s v="快速"/>
    <d v="1899-12-30T19:18:00"/>
    <x v="0"/>
    <x v="0"/>
    <m/>
    <s v="四ツ谷/御茶ノ水/神田/東京"/>
  </r>
  <r>
    <x v="0"/>
    <s v="快速"/>
    <d v="1899-12-30T19:20:00"/>
    <x v="0"/>
    <x v="0"/>
    <m/>
    <s v="四ツ谷/御茶ノ水/神田/東京"/>
  </r>
  <r>
    <x v="0"/>
    <s v="快速"/>
    <d v="1899-12-30T19:24:00"/>
    <x v="0"/>
    <x v="0"/>
    <m/>
    <s v="四ツ谷/御茶ノ水/神田/東京"/>
  </r>
  <r>
    <x v="0"/>
    <s v="快速"/>
    <d v="1899-12-30T19:27:00"/>
    <x v="0"/>
    <x v="0"/>
    <m/>
    <s v="四ツ谷/御茶ノ水/神田/東京"/>
  </r>
  <r>
    <x v="0"/>
    <s v="快速"/>
    <d v="1899-12-30T19:31:00"/>
    <x v="0"/>
    <x v="0"/>
    <m/>
    <s v="四ツ谷/御茶ノ水/神田/東京"/>
  </r>
  <r>
    <x v="0"/>
    <s v="快速"/>
    <d v="1899-12-30T19:35:00"/>
    <x v="0"/>
    <x v="0"/>
    <m/>
    <s v="四ツ谷/御茶ノ水/神田/東京"/>
  </r>
  <r>
    <x v="0"/>
    <s v="快速"/>
    <d v="1899-12-30T19:40:00"/>
    <x v="0"/>
    <x v="0"/>
    <m/>
    <s v="四ツ谷/御茶ノ水/神田/東京"/>
  </r>
  <r>
    <x v="0"/>
    <s v="快速"/>
    <d v="1899-12-30T19:45:00"/>
    <x v="0"/>
    <x v="0"/>
    <m/>
    <s v="四ツ谷/御茶ノ水/神田/東京"/>
  </r>
  <r>
    <x v="0"/>
    <s v="快速"/>
    <d v="1899-12-30T19:48:00"/>
    <x v="0"/>
    <x v="0"/>
    <m/>
    <s v="四ツ谷/御茶ノ水/神田/東京"/>
  </r>
  <r>
    <x v="0"/>
    <s v="中央特快"/>
    <d v="1899-12-30T19:51:00"/>
    <x v="0"/>
    <x v="0"/>
    <m/>
    <s v="四ツ谷/御茶ノ水/神田/東京"/>
  </r>
  <r>
    <x v="0"/>
    <s v="快速"/>
    <d v="1899-12-30T19:53:00"/>
    <x v="0"/>
    <x v="0"/>
    <m/>
    <s v="四ツ谷/御茶ノ水/神田/東京"/>
  </r>
  <r>
    <x v="0"/>
    <s v="快速"/>
    <d v="1899-12-30T19:57:00"/>
    <x v="0"/>
    <x v="0"/>
    <m/>
    <s v="四ツ谷/御茶ノ水/神田/東京"/>
  </r>
  <r>
    <x v="0"/>
    <s v="快速"/>
    <d v="1899-12-30T20:00:00"/>
    <x v="0"/>
    <x v="0"/>
    <m/>
    <s v="四ツ谷/御茶ノ水/神田/東京"/>
  </r>
  <r>
    <x v="0"/>
    <s v="快速"/>
    <d v="1899-12-30T20:03:00"/>
    <x v="0"/>
    <x v="0"/>
    <m/>
    <s v="四ツ谷/御茶ノ水/神田/東京"/>
  </r>
  <r>
    <x v="0"/>
    <s v="快速"/>
    <d v="1899-12-30T20:06:00"/>
    <x v="0"/>
    <x v="0"/>
    <m/>
    <s v="四ツ谷/御茶ノ水/神田/東京"/>
  </r>
  <r>
    <x v="1"/>
    <s v="特急"/>
    <d v="1899-12-30T20:09:00"/>
    <x v="1"/>
    <x v="1"/>
    <m/>
    <s v="錦糸町/船橋/千葉"/>
  </r>
  <r>
    <x v="0"/>
    <s v="快速"/>
    <d v="1899-12-30T20:11:00"/>
    <x v="0"/>
    <x v="0"/>
    <m/>
    <s v="四ツ谷/御茶ノ水/神田/東京"/>
  </r>
  <r>
    <x v="0"/>
    <s v="快速"/>
    <d v="1899-12-30T20:15:00"/>
    <x v="0"/>
    <x v="0"/>
    <m/>
    <s v="四ツ谷/御茶ノ水/神田/東京"/>
  </r>
  <r>
    <x v="0"/>
    <s v="快速"/>
    <d v="1899-12-30T20:17:00"/>
    <x v="0"/>
    <x v="0"/>
    <m/>
    <s v="四ツ谷/御茶ノ水/神田/東京"/>
  </r>
  <r>
    <x v="0"/>
    <s v="中央特快"/>
    <d v="1899-12-30T20:19:00"/>
    <x v="0"/>
    <x v="0"/>
    <m/>
    <s v="四ツ谷/御茶ノ水/神田/東京"/>
  </r>
  <r>
    <x v="0"/>
    <s v="快速"/>
    <d v="1899-12-30T20:25:00"/>
    <x v="0"/>
    <x v="0"/>
    <m/>
    <s v="四ツ谷/御茶ノ水/神田/東京"/>
  </r>
  <r>
    <x v="0"/>
    <s v="快速"/>
    <d v="1899-12-30T20:29:00"/>
    <x v="0"/>
    <x v="0"/>
    <m/>
    <s v="四ツ谷/御茶ノ水/神田/東京"/>
  </r>
  <r>
    <x v="0"/>
    <s v="快速"/>
    <d v="1899-12-30T20:33:00"/>
    <x v="0"/>
    <x v="0"/>
    <m/>
    <s v="四ツ谷/御茶ノ水/神田/東京"/>
  </r>
  <r>
    <x v="0"/>
    <s v="快速"/>
    <d v="1899-12-30T20:35:00"/>
    <x v="0"/>
    <x v="0"/>
    <m/>
    <s v="四ツ谷/御茶ノ水/神田/東京"/>
  </r>
  <r>
    <x v="0"/>
    <s v="快速"/>
    <d v="1899-12-30T20:42:00"/>
    <x v="0"/>
    <x v="0"/>
    <m/>
    <s v="四ツ谷/御茶ノ水/神田/東京"/>
  </r>
  <r>
    <x v="0"/>
    <s v="快速"/>
    <d v="1899-12-30T20:46:00"/>
    <x v="0"/>
    <x v="0"/>
    <m/>
    <s v="四ツ谷/御茶ノ水/神田/東京"/>
  </r>
  <r>
    <x v="0"/>
    <s v="中央特快"/>
    <d v="1899-12-30T20:51:00"/>
    <x v="0"/>
    <x v="0"/>
    <m/>
    <s v="四ツ谷/御茶ノ水/神田/東京"/>
  </r>
  <r>
    <x v="0"/>
    <s v="快速"/>
    <d v="1899-12-30T20:54:00"/>
    <x v="0"/>
    <x v="0"/>
    <m/>
    <s v="四ツ谷/御茶ノ水/神田/東京"/>
  </r>
  <r>
    <x v="0"/>
    <s v="快速"/>
    <d v="1899-12-30T20:58:00"/>
    <x v="0"/>
    <x v="0"/>
    <m/>
    <s v="四ツ谷/御茶ノ水/神田/東京"/>
  </r>
  <r>
    <x v="0"/>
    <s v="快速"/>
    <d v="1899-12-30T21:01:00"/>
    <x v="0"/>
    <x v="0"/>
    <m/>
    <s v="四ツ谷/御茶ノ水/神田/東京"/>
  </r>
  <r>
    <x v="0"/>
    <s v="快速"/>
    <d v="1899-12-30T21:05:00"/>
    <x v="0"/>
    <x v="0"/>
    <m/>
    <s v="四ツ谷/御茶ノ水/神田/東京"/>
  </r>
  <r>
    <x v="1"/>
    <s v="特急"/>
    <d v="1899-12-30T21:07:00"/>
    <x v="1"/>
    <x v="1"/>
    <s v="始発"/>
    <s v="秋葉原/船橋/津田沼/稲毛/千葉"/>
  </r>
  <r>
    <x v="0"/>
    <s v="快速"/>
    <d v="1899-12-30T21:12:00"/>
    <x v="0"/>
    <x v="0"/>
    <m/>
    <s v="四ツ谷/御茶ノ水/神田/東京"/>
  </r>
  <r>
    <x v="0"/>
    <s v="快速"/>
    <d v="1899-12-30T21:16:00"/>
    <x v="0"/>
    <x v="0"/>
    <m/>
    <s v="四ツ谷/御茶ノ水/神田/東京"/>
  </r>
  <r>
    <x v="0"/>
    <s v="快速"/>
    <d v="1899-12-30T21:18:00"/>
    <x v="0"/>
    <x v="0"/>
    <m/>
    <s v="四ツ谷/御茶ノ水/神田/東京"/>
  </r>
  <r>
    <x v="0"/>
    <s v="快速"/>
    <d v="1899-12-30T21:23:00"/>
    <x v="0"/>
    <x v="0"/>
    <m/>
    <s v="四ツ谷/御茶ノ水/神田/東京"/>
  </r>
  <r>
    <x v="0"/>
    <s v="快速"/>
    <d v="1899-12-30T21:25:00"/>
    <x v="0"/>
    <x v="0"/>
    <m/>
    <s v="四ツ谷/御茶ノ水/神田/東京"/>
  </r>
  <r>
    <x v="0"/>
    <s v="中央特快"/>
    <d v="1899-12-30T21:29:00"/>
    <x v="0"/>
    <x v="0"/>
    <m/>
    <s v="四ツ谷/御茶ノ水/神田/東京"/>
  </r>
  <r>
    <x v="0"/>
    <s v="快速"/>
    <d v="1899-12-30T21:33:00"/>
    <x v="0"/>
    <x v="0"/>
    <m/>
    <s v="四ツ谷/御茶ノ水/神田/東京"/>
  </r>
  <r>
    <x v="0"/>
    <s v="快速"/>
    <d v="1899-12-30T21:36:00"/>
    <x v="0"/>
    <x v="0"/>
    <m/>
    <s v="四ツ谷/御茶ノ水/神田/東京"/>
  </r>
  <r>
    <x v="0"/>
    <s v="快速"/>
    <d v="1899-12-30T21:44:00"/>
    <x v="0"/>
    <x v="0"/>
    <m/>
    <s v="四ツ谷/御茶ノ水/神田/東京"/>
  </r>
  <r>
    <x v="0"/>
    <s v="快速"/>
    <d v="1899-12-30T21:47:00"/>
    <x v="0"/>
    <x v="0"/>
    <m/>
    <s v="四ツ谷/御茶ノ水/神田/東京"/>
  </r>
  <r>
    <x v="0"/>
    <s v="快速"/>
    <d v="1899-12-30T21:49:00"/>
    <x v="0"/>
    <x v="0"/>
    <m/>
    <s v="四ツ谷/御茶ノ水/神田/東京"/>
  </r>
  <r>
    <x v="0"/>
    <s v="中央特快"/>
    <d v="1899-12-30T21:51:00"/>
    <x v="0"/>
    <x v="0"/>
    <m/>
    <s v="四ツ谷/御茶ノ水/神田/東京"/>
  </r>
  <r>
    <x v="0"/>
    <s v="快速"/>
    <d v="1899-12-30T21:55:00"/>
    <x v="0"/>
    <x v="0"/>
    <m/>
    <s v="四ツ谷/御茶ノ水/神田/東京"/>
  </r>
  <r>
    <x v="0"/>
    <s v="快速"/>
    <d v="1899-12-30T21:59:00"/>
    <x v="0"/>
    <x v="0"/>
    <m/>
    <s v="四ツ谷/御茶ノ水/神田/東京"/>
  </r>
  <r>
    <x v="0"/>
    <s v="快速"/>
    <d v="1899-12-30T22:05:00"/>
    <x v="0"/>
    <x v="0"/>
    <m/>
    <s v="四ツ谷/御茶ノ水/神田/東京"/>
  </r>
  <r>
    <x v="0"/>
    <s v="快速"/>
    <d v="1899-12-30T22:15:00"/>
    <x v="0"/>
    <x v="0"/>
    <m/>
    <s v="四ツ谷/御茶ノ水/神田/東京"/>
  </r>
  <r>
    <x v="0"/>
    <s v="中央特快"/>
    <d v="1899-12-30T22:18:00"/>
    <x v="0"/>
    <x v="0"/>
    <m/>
    <s v="四ツ谷/御茶ノ水/神田/東京"/>
  </r>
  <r>
    <x v="0"/>
    <s v="快速"/>
    <d v="1899-12-30T22:22:00"/>
    <x v="0"/>
    <x v="0"/>
    <m/>
    <s v="四ツ谷/御茶ノ水/神田/東京"/>
  </r>
  <r>
    <x v="0"/>
    <s v="快速"/>
    <d v="1899-12-30T22:27:00"/>
    <x v="0"/>
    <x v="0"/>
    <m/>
    <s v="四ツ谷/御茶ノ水/神田/東京"/>
  </r>
  <r>
    <x v="0"/>
    <s v="快速"/>
    <d v="1899-12-30T22:31:00"/>
    <x v="0"/>
    <x v="1"/>
    <m/>
    <s v="四ツ谷/御茶ノ水/神田/東京"/>
  </r>
  <r>
    <x v="0"/>
    <s v="快速"/>
    <d v="1899-12-30T22:35:00"/>
    <x v="0"/>
    <x v="0"/>
    <m/>
    <s v="四ツ谷/御茶ノ水/神田/東京"/>
  </r>
  <r>
    <x v="0"/>
    <s v="快速"/>
    <d v="1899-12-30T22:40:00"/>
    <x v="0"/>
    <x v="0"/>
    <m/>
    <s v="四ツ谷/御茶ノ水/神田/東京"/>
  </r>
  <r>
    <x v="0"/>
    <s v="快速"/>
    <d v="1899-12-30T22:44:00"/>
    <x v="0"/>
    <x v="0"/>
    <m/>
    <s v="四ツ谷/御茶ノ水/神田/東京"/>
  </r>
  <r>
    <x v="0"/>
    <s v="快速"/>
    <d v="1899-12-30T22:49:00"/>
    <x v="0"/>
    <x v="0"/>
    <m/>
    <s v="四ツ谷/御茶ノ水/神田/東京"/>
  </r>
  <r>
    <x v="0"/>
    <s v="中央特快"/>
    <d v="1899-12-30T22:51:00"/>
    <x v="0"/>
    <x v="0"/>
    <m/>
    <s v="四ツ谷/御茶ノ水/神田/東京"/>
  </r>
  <r>
    <x v="0"/>
    <s v="快速"/>
    <d v="1899-12-30T22:55:00"/>
    <x v="0"/>
    <x v="0"/>
    <m/>
    <s v="四ツ谷/御茶ノ水/神田/東京"/>
  </r>
  <r>
    <x v="0"/>
    <s v="快速"/>
    <d v="1899-12-30T23:01:00"/>
    <x v="0"/>
    <x v="0"/>
    <m/>
    <s v="四ツ谷/御茶ノ水/神田/東京"/>
  </r>
  <r>
    <x v="0"/>
    <s v="快速"/>
    <d v="1899-12-30T23:08:00"/>
    <x v="0"/>
    <x v="0"/>
    <m/>
    <s v="四ツ谷/御茶ノ水/神田/東京"/>
  </r>
  <r>
    <x v="0"/>
    <s v="中央特快"/>
    <d v="1899-12-30T23:15:00"/>
    <x v="0"/>
    <x v="0"/>
    <m/>
    <s v="四ツ谷/御茶ノ水/神田/東京"/>
  </r>
  <r>
    <x v="0"/>
    <s v="快速"/>
    <d v="1899-12-30T23:31:00"/>
    <x v="0"/>
    <x v="0"/>
    <m/>
    <s v="四ツ谷/御茶ノ水/神田/東京"/>
  </r>
  <r>
    <x v="0"/>
    <s v="快速"/>
    <d v="1899-12-30T23:40:00"/>
    <x v="0"/>
    <x v="0"/>
    <m/>
    <s v="四ツ谷/御茶ノ水/神田/東京"/>
  </r>
  <r>
    <x v="0"/>
    <s v="快速"/>
    <d v="1899-12-30T23:47:00"/>
    <x v="0"/>
    <x v="0"/>
    <m/>
    <s v="四ツ谷/御茶ノ水/神田/東京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ピボットテーブル10" cacheId="3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5:K39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ピボットテーブル9" cacheId="2" applyNumberFormats="0" applyBorderFormats="0" applyFontFormats="0" applyPatternFormats="0" applyAlignmentFormats="0" applyWidthHeightFormats="1" dataCaption="値" updatedVersion="5" minRefreshableVersion="3" useAutoFormatting="1" rowGrandTotals="0" itemPrintTitles="1" createdVersion="6" indent="0" outline="1" outlineData="1" multipleFieldFilters="0" rowHeaderCaption="行先(For)">
  <location ref="J18:K33" firstHeaderRow="1" firstDataRow="1" firstDataCol="1"/>
  <pivotFields count="1">
    <pivotField axis="axisRow" dataField="1" subtotalTop="0" showAll="0" sortType="descending">
      <items count="16">
        <item x="11"/>
        <item x="9"/>
        <item x="0"/>
        <item x="13"/>
        <item x="14"/>
        <item x="2"/>
        <item x="1"/>
        <item x="8"/>
        <item x="4"/>
        <item x="10"/>
        <item x="7"/>
        <item x="5"/>
        <item x="6"/>
        <item x="3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5">
    <i>
      <x v="2"/>
    </i>
    <i>
      <x v="6"/>
    </i>
    <i>
      <x v="12"/>
    </i>
    <i>
      <x v="13"/>
    </i>
    <i>
      <x v="11"/>
    </i>
    <i>
      <x v="10"/>
    </i>
    <i>
      <x v="5"/>
    </i>
    <i>
      <x v="7"/>
    </i>
    <i>
      <x v="1"/>
    </i>
    <i>
      <x v="14"/>
    </i>
    <i>
      <x/>
    </i>
    <i>
      <x v="3"/>
    </i>
    <i>
      <x v="4"/>
    </i>
    <i>
      <x v="9"/>
    </i>
    <i>
      <x v="8"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ピボットテーブル8" cacheId="1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種別(Type)">
  <location ref="J7:K14" firstHeaderRow="1" firstDataRow="1" firstDataCol="1"/>
  <pivotFields count="1">
    <pivotField axis="axisRow" dataField="1" subtotalTop="0" showAll="0" sortType="descending">
      <items count="7">
        <item x="2"/>
        <item x="4"/>
        <item x="1"/>
        <item x="3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7">
    <i>
      <x v="4"/>
    </i>
    <i>
      <x v="2"/>
    </i>
    <i>
      <x/>
    </i>
    <i>
      <x v="1"/>
    </i>
    <i>
      <x v="5"/>
    </i>
    <i>
      <x v="3"/>
    </i>
    <i t="grand">
      <x/>
    </i>
  </rowItems>
  <colItems count="1">
    <i/>
  </colItems>
  <dataFields count="1">
    <dataField name="個数 / 種別(Type)" fld="0" subtotal="count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ピボットテーブル7" cacheId="0" applyNumberFormats="0" applyBorderFormats="0" applyFontFormats="0" applyPatternFormats="0" applyAlignmentFormats="0" applyWidthHeightFormats="1" dataCaption="値" updatedVersion="6" minRefreshableVersion="3" useAutoFormatting="1" rowGrandTotals="0" colGrandTotals="0" itemPrintTitles="1" createdVersion="6" indent="0" outline="1" outlineData="1" multipleFieldFilters="0" rowHeaderCaption="路線(Line)">
  <location ref="J2:K5" firstHeaderRow="1" firstDataRow="1" firstDataCol="1"/>
  <pivotFields count="1">
    <pivotField axis="axisRow" dataField="1" subtotalTop="0" showAll="0" sortType="descending">
      <items count="4"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">
    <i>
      <x v="1"/>
    </i>
    <i>
      <x v="2"/>
    </i>
    <i>
      <x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ﾋﾟﾎﾞｯﾄﾃｰﾌﾞﾙ1" cacheId="3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0:K34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ピボットテーブル12" cacheId="4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chartFormat="1" rowHeaderCaption="種別(Type)">
  <location ref="J6:K12" firstHeaderRow="1" firstDataRow="1" firstDataCol="1"/>
  <pivotFields count="1">
    <pivotField axis="axisRow" dataField="1" subtotalTop="0" showAll="0" sortType="descending">
      <items count="6">
        <item x="3"/>
        <item x="1"/>
        <item x="4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6">
    <i>
      <x v="3"/>
    </i>
    <i>
      <x v="1"/>
    </i>
    <i>
      <x v="2"/>
    </i>
    <i>
      <x/>
    </i>
    <i>
      <x v="4"/>
    </i>
    <i t="grand">
      <x/>
    </i>
  </rowItems>
  <colItems count="1">
    <i/>
  </colItems>
  <dataFields count="1">
    <dataField name="個数 / 種別(Type)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ピボットテーブル11" cacheId="7" applyNumberFormats="0" applyBorderFormats="0" applyFontFormats="0" applyPatternFormats="0" applyAlignmentFormats="0" applyWidthHeightFormats="1" dataCaption="値" updatedVersion="5" minRefreshableVersion="3" useAutoFormatting="1" rowGrandTotals="0" colGrandTotals="0" itemPrintTitles="1" createdVersion="6" indent="0" outline="1" outlineData="1" multipleFieldFilters="0" rowHeaderCaption="路線(Line)">
  <location ref="J2:K4" firstHeaderRow="1" firstDataRow="1" firstDataCol="1"/>
  <pivotFields count="1">
    <pivotField axis="axisRow" dataField="1" subtotalTop="0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/>
    </i>
    <i>
      <x v="1"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ピボットテーブル15" cacheId="6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のりば(Track)">
  <location ref="J20:K28" firstHeaderRow="1" firstDataRow="1" firstDataCol="1"/>
  <pivotFields count="7">
    <pivotField axis="axisRow" showAll="0">
      <items count="3">
        <item x="0"/>
        <item x="1"/>
        <item t="default"/>
      </items>
    </pivotField>
    <pivotField showAll="0"/>
    <pivotField numFmtId="176" showAll="0"/>
    <pivotField showAll="0">
      <items count="3">
        <item x="1"/>
        <item x="0"/>
        <item t="default"/>
      </items>
    </pivotField>
    <pivotField axis="axisRow" dataField="1" showAll="0">
      <items count="4">
        <item x="1"/>
        <item x="0"/>
        <item x="2"/>
        <item t="default"/>
      </items>
    </pivotField>
    <pivotField showAll="0"/>
    <pivotField showAll="0"/>
  </pivotFields>
  <rowFields count="2">
    <field x="4"/>
    <field x="0"/>
  </rowFields>
  <rowItems count="8">
    <i>
      <x/>
    </i>
    <i r="1">
      <x/>
    </i>
    <i r="1">
      <x v="1"/>
    </i>
    <i>
      <x v="1"/>
    </i>
    <i r="1">
      <x/>
    </i>
    <i r="1">
      <x v="1"/>
    </i>
    <i>
      <x v="2"/>
    </i>
    <i r="1">
      <x v="1"/>
    </i>
  </rowItems>
  <colItems count="1">
    <i/>
  </colItems>
  <dataFields count="1">
    <dataField name="個数 / のりば(Track)" fld="4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ピボットテーブル14" cacheId="5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行先(For)">
  <location ref="J16:K18" firstHeaderRow="1" firstDataRow="1" firstDataCol="1"/>
  <pivotFields count="1">
    <pivotField axis="axisRow" dataField="1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 v="1"/>
    </i>
    <i>
      <x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路線" displayName="路線" ref="B2:H10" totalsRowShown="0" headerRowDxfId="25" dataDxfId="24">
  <autoFilter ref="B2:H10"/>
  <tableColumns count="7">
    <tableColumn id="1" name="路線名" dataDxfId="23"/>
    <tableColumn id="2" name="路線色/赤" dataDxfId="22"/>
    <tableColumn id="3" name="路線色/緑" dataDxfId="21"/>
    <tableColumn id="4" name="路線色/青" dataDxfId="20"/>
    <tableColumn id="5" name="路線色2/赤" dataDxfId="19"/>
    <tableColumn id="6" name="路線色2/緑" dataDxfId="18"/>
    <tableColumn id="7" name="路線色2/青" dataDxfId="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中央線快速_八王子・大月方面_平日" displayName="中央線快速_八王子・大月方面_平日" ref="B2:H324" totalsRowShown="0">
  <autoFilter ref="B2:H324"/>
  <tableColumns count="7">
    <tableColumn id="1" name="路線(Line)"/>
    <tableColumn id="2" name="種別(Type)" dataDxfId="16"/>
    <tableColumn id="3" name="発車時刻(Time)" dataDxfId="15"/>
    <tableColumn id="4" name="行先(For)"/>
    <tableColumn id="5" name="のりば(Track)" dataDxfId="14"/>
    <tableColumn id="6" name="始発(Dep.)" dataDxfId="13"/>
    <tableColumn id="7" name="停車駅" dataDxfId="1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中央線快速_東京方面_平日" displayName="中央線快速_東京方面_平日" ref="B2:H289" totalsRowShown="0">
  <autoFilter ref="B2:H289"/>
  <tableColumns count="7">
    <tableColumn id="1" name="路線(Line)" dataDxfId="11"/>
    <tableColumn id="2" name="種別(Type)" dataDxfId="10"/>
    <tableColumn id="3" name="発車時刻(Time)" dataDxfId="9"/>
    <tableColumn id="4" name="行先(For)"/>
    <tableColumn id="5" name="のりば(Track)" dataDxfId="8"/>
    <tableColumn id="6" name="始発(Dep.)" dataDxfId="7"/>
    <tableColumn id="7" name="停車駅" dataDxfId="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中央線快速_東京方面_平日6" displayName="中央線快速_東京方面_平日6" ref="B2:H316" totalsRowShown="0">
  <autoFilter ref="B2:H316"/>
  <tableColumns count="7">
    <tableColumn id="1" name="路線(Line)" dataDxfId="5"/>
    <tableColumn id="2" name="種別(Type)" dataDxfId="4"/>
    <tableColumn id="3" name="発車時刻(Time)" dataDxfId="3"/>
    <tableColumn id="4" name="行先(For)"/>
    <tableColumn id="5" name="のりば(Track)" dataDxfId="2"/>
    <tableColumn id="6" name="始発(Dep.)" dataDxfId="1"/>
    <tableColumn id="7" name="停車駅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0"/>
  <sheetViews>
    <sheetView workbookViewId="0"/>
  </sheetViews>
  <sheetFormatPr defaultRowHeight="13.2" x14ac:dyDescent="0.2"/>
  <cols>
    <col min="1" max="1" width="2.21875" customWidth="1"/>
    <col min="2" max="2" width="38.21875" bestFit="1" customWidth="1"/>
    <col min="3" max="5" width="14.88671875" bestFit="1" customWidth="1"/>
    <col min="6" max="8" width="16.109375" bestFit="1" customWidth="1"/>
  </cols>
  <sheetData>
    <row r="2" spans="2:8" x14ac:dyDescent="0.2"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</row>
    <row r="3" spans="2:8" x14ac:dyDescent="0.2">
      <c r="B3" s="18" t="s">
        <v>13</v>
      </c>
      <c r="C3" s="1">
        <v>0</v>
      </c>
      <c r="D3" s="1">
        <v>180</v>
      </c>
      <c r="E3" s="1">
        <v>141</v>
      </c>
      <c r="F3" s="1"/>
      <c r="G3" s="1"/>
      <c r="H3" s="1"/>
    </row>
    <row r="4" spans="2:8" x14ac:dyDescent="0.2">
      <c r="B4" s="19" t="s">
        <v>14</v>
      </c>
      <c r="C4" s="1">
        <v>0</v>
      </c>
      <c r="D4" s="1">
        <v>180</v>
      </c>
      <c r="E4" s="1">
        <v>141</v>
      </c>
      <c r="F4" s="1">
        <v>0</v>
      </c>
      <c r="G4" s="1">
        <v>0</v>
      </c>
      <c r="H4" s="1">
        <v>255</v>
      </c>
    </row>
    <row r="5" spans="2:8" x14ac:dyDescent="0.2">
      <c r="B5" s="20" t="s">
        <v>16</v>
      </c>
      <c r="C5" s="1">
        <v>226</v>
      </c>
      <c r="D5" s="1">
        <v>31</v>
      </c>
      <c r="E5" s="1">
        <v>37</v>
      </c>
      <c r="F5" s="1">
        <v>0</v>
      </c>
      <c r="G5" s="1">
        <v>121</v>
      </c>
      <c r="H5" s="1">
        <v>193</v>
      </c>
    </row>
    <row r="6" spans="2:8" x14ac:dyDescent="0.2">
      <c r="B6" s="7" t="s">
        <v>17</v>
      </c>
      <c r="C6" s="1">
        <v>240</v>
      </c>
      <c r="D6" s="1">
        <v>90</v>
      </c>
      <c r="E6" s="1">
        <v>33</v>
      </c>
      <c r="F6" s="1"/>
      <c r="G6" s="1"/>
      <c r="H6" s="1"/>
    </row>
    <row r="7" spans="2:8" x14ac:dyDescent="0.2">
      <c r="B7" s="8" t="s">
        <v>18</v>
      </c>
      <c r="C7" s="1">
        <v>0</v>
      </c>
      <c r="D7" s="1">
        <v>121</v>
      </c>
      <c r="E7" s="1">
        <v>193</v>
      </c>
      <c r="F7" s="1"/>
      <c r="G7" s="1"/>
      <c r="H7" s="1"/>
    </row>
    <row r="8" spans="2:8" x14ac:dyDescent="0.2">
      <c r="B8" s="21" t="s">
        <v>19</v>
      </c>
      <c r="C8" s="1">
        <v>255</v>
      </c>
      <c r="D8" s="1">
        <v>255</v>
      </c>
      <c r="E8" s="1">
        <v>255</v>
      </c>
      <c r="F8" s="1"/>
      <c r="G8" s="1"/>
      <c r="H8" s="1"/>
    </row>
    <row r="9" spans="2:8" x14ac:dyDescent="0.2">
      <c r="B9" s="17" t="s">
        <v>20</v>
      </c>
      <c r="C9" s="1">
        <v>128</v>
      </c>
      <c r="D9" s="1">
        <v>195</v>
      </c>
      <c r="E9" s="1">
        <v>66</v>
      </c>
      <c r="F9" s="1"/>
      <c r="G9" s="1"/>
      <c r="H9" s="1"/>
    </row>
    <row r="10" spans="2:8" x14ac:dyDescent="0.2">
      <c r="B10" s="22" t="s">
        <v>15</v>
      </c>
      <c r="C10" s="1">
        <v>0</v>
      </c>
      <c r="D10" s="1">
        <v>0</v>
      </c>
      <c r="E10" s="1">
        <v>255</v>
      </c>
      <c r="F10" s="1"/>
      <c r="G10" s="1"/>
      <c r="H10" s="1"/>
    </row>
  </sheetData>
  <phoneticPr fontId="1"/>
  <conditionalFormatting sqref="C3:H10">
    <cfRule type="dataBar" priority="1">
      <dataBar>
        <cfvo type="min"/>
        <cfvo type="max"/>
        <color rgb="FFDFDFDF"/>
      </dataBar>
      <extLst>
        <ext xmlns:x14="http://schemas.microsoft.com/office/spreadsheetml/2009/9/main" uri="{B025F937-C7B1-47D3-B67F-A62EFF666E3E}">
          <x14:id>{18BCAD5F-1EB6-4FCE-9082-618ECAB2C6DF}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BCAD5F-1EB6-4FCE-9082-618ECAB2C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C3:H10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V325"/>
  <sheetViews>
    <sheetView tabSelected="1" workbookViewId="0"/>
  </sheetViews>
  <sheetFormatPr defaultRowHeight="13.2" x14ac:dyDescent="0.2"/>
  <cols>
    <col min="1" max="1" width="2.21875" customWidth="1"/>
    <col min="2" max="2" width="16.44140625" bestFit="1" customWidth="1"/>
    <col min="3" max="3" width="14.109375" bestFit="1" customWidth="1"/>
    <col min="4" max="4" width="18.6640625" bestFit="1" customWidth="1"/>
    <col min="5" max="5" width="12.44140625" bestFit="1" customWidth="1"/>
    <col min="6" max="6" width="16.5546875" bestFit="1" customWidth="1"/>
    <col min="7" max="7" width="13.6640625" bestFit="1" customWidth="1"/>
    <col min="8" max="8" width="10.109375" bestFit="1" customWidth="1"/>
    <col min="9" max="9" width="2.21875" customWidth="1"/>
    <col min="10" max="10" width="19.33203125" bestFit="1" customWidth="1"/>
    <col min="11" max="11" width="17.6640625" bestFit="1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2">
      <c r="B3" s="7" t="s">
        <v>55</v>
      </c>
      <c r="C3" s="1" t="s">
        <v>21</v>
      </c>
      <c r="D3" s="3">
        <v>0.26458333333333334</v>
      </c>
      <c r="E3" t="s">
        <v>35</v>
      </c>
      <c r="F3" s="1"/>
      <c r="G3" s="1"/>
      <c r="H3" s="6"/>
      <c r="J3" s="6" t="s">
        <v>34</v>
      </c>
      <c r="K3" s="11">
        <v>285</v>
      </c>
      <c r="U3" s="5">
        <v>0</v>
      </c>
      <c r="V3" s="4">
        <f>IFERROR((1/(U3/$K$16)), 0)</f>
        <v>0</v>
      </c>
    </row>
    <row r="4" spans="2:22" x14ac:dyDescent="0.2">
      <c r="B4" s="7" t="s">
        <v>55</v>
      </c>
      <c r="C4" s="1" t="s">
        <v>22</v>
      </c>
      <c r="D4" s="3">
        <v>0.26805555555555555</v>
      </c>
      <c r="E4" t="s">
        <v>35</v>
      </c>
      <c r="F4" s="1"/>
      <c r="G4" s="1"/>
      <c r="H4" s="6"/>
      <c r="J4" s="6" t="s">
        <v>59</v>
      </c>
      <c r="K4" s="11">
        <v>35</v>
      </c>
      <c r="U4" s="2">
        <f>中央線快速_八王子・大月方面_平日[[#This Row],[発車時刻(Time)]]-$D3</f>
        <v>3.4722222222222099E-3</v>
      </c>
      <c r="V4" s="4">
        <f t="shared" ref="V4:V67" si="0">IFERROR((1/(U4/$K$16)), 0)</f>
        <v>0.66978193146417686</v>
      </c>
    </row>
    <row r="5" spans="2:22" x14ac:dyDescent="0.2">
      <c r="B5" s="7" t="s">
        <v>55</v>
      </c>
      <c r="C5" s="1" t="s">
        <v>21</v>
      </c>
      <c r="D5" s="3">
        <v>0.27152777777777776</v>
      </c>
      <c r="E5" t="s">
        <v>35</v>
      </c>
      <c r="F5" s="1"/>
      <c r="G5" s="1"/>
      <c r="H5" s="6"/>
      <c r="J5" s="6" t="s">
        <v>53</v>
      </c>
      <c r="K5" s="11">
        <v>2</v>
      </c>
      <c r="U5" s="2">
        <f>中央線快速_八王子・大月方面_平日[[#This Row],[発車時刻(Time)]]-$D4</f>
        <v>3.4722222222222099E-3</v>
      </c>
      <c r="V5" s="4">
        <f t="shared" si="0"/>
        <v>0.66978193146417686</v>
      </c>
    </row>
    <row r="6" spans="2:22" x14ac:dyDescent="0.2">
      <c r="B6" s="7" t="s">
        <v>55</v>
      </c>
      <c r="C6" s="1" t="s">
        <v>21</v>
      </c>
      <c r="D6" s="3">
        <v>0.27569444444444446</v>
      </c>
      <c r="E6" t="s">
        <v>35</v>
      </c>
      <c r="F6" s="1"/>
      <c r="G6" s="1"/>
      <c r="H6" s="6"/>
      <c r="U6" s="2">
        <f>中央線快速_八王子・大月方面_平日[[#This Row],[発車時刻(Time)]]-$D5</f>
        <v>4.1666666666667074E-3</v>
      </c>
      <c r="V6" s="4">
        <f t="shared" si="0"/>
        <v>0.55815160955347332</v>
      </c>
    </row>
    <row r="7" spans="2:22" x14ac:dyDescent="0.2">
      <c r="B7" s="7" t="s">
        <v>55</v>
      </c>
      <c r="C7" s="1" t="s">
        <v>21</v>
      </c>
      <c r="D7" s="3">
        <v>0.27916666666666667</v>
      </c>
      <c r="E7" t="s">
        <v>35</v>
      </c>
      <c r="F7" s="1"/>
      <c r="G7" s="1"/>
      <c r="H7" s="6"/>
      <c r="J7" s="10" t="s">
        <v>63</v>
      </c>
      <c r="K7" t="s">
        <v>56</v>
      </c>
      <c r="U7" s="2">
        <f>中央線快速_八王子・大月方面_平日[[#This Row],[発車時刻(Time)]]-$D6</f>
        <v>3.4722222222222099E-3</v>
      </c>
      <c r="V7" s="4">
        <f t="shared" si="0"/>
        <v>0.66978193146417686</v>
      </c>
    </row>
    <row r="8" spans="2:22" x14ac:dyDescent="0.2">
      <c r="B8" s="7" t="s">
        <v>55</v>
      </c>
      <c r="C8" s="1" t="s">
        <v>22</v>
      </c>
      <c r="D8" s="3">
        <v>0.28333333333333333</v>
      </c>
      <c r="E8" t="s">
        <v>35</v>
      </c>
      <c r="F8" s="1"/>
      <c r="G8" s="1"/>
      <c r="H8" s="6"/>
      <c r="J8" s="6" t="s">
        <v>21</v>
      </c>
      <c r="K8" s="11">
        <v>225</v>
      </c>
      <c r="U8" s="2">
        <f>中央線快速_八王子・大月方面_平日[[#This Row],[発車時刻(Time)]]-$D7</f>
        <v>4.1666666666666519E-3</v>
      </c>
      <c r="V8" s="4">
        <f t="shared" si="0"/>
        <v>0.55815160955348075</v>
      </c>
    </row>
    <row r="9" spans="2:22" x14ac:dyDescent="0.2">
      <c r="B9" s="7" t="s">
        <v>55</v>
      </c>
      <c r="C9" s="1" t="s">
        <v>21</v>
      </c>
      <c r="D9" s="3">
        <v>0.28611111111111115</v>
      </c>
      <c r="E9" t="s">
        <v>36</v>
      </c>
      <c r="F9" s="1"/>
      <c r="G9" s="1"/>
      <c r="H9" s="6"/>
      <c r="J9" s="6" t="s">
        <v>22</v>
      </c>
      <c r="K9" s="11">
        <v>36</v>
      </c>
      <c r="U9" s="2">
        <f>中央線快速_八王子・大月方面_平日[[#This Row],[発車時刻(Time)]]-$D8</f>
        <v>2.7777777777778234E-3</v>
      </c>
      <c r="V9" s="4">
        <f t="shared" si="0"/>
        <v>0.83722741433020431</v>
      </c>
    </row>
    <row r="10" spans="2:22" x14ac:dyDescent="0.2">
      <c r="B10" s="9" t="s">
        <v>37</v>
      </c>
      <c r="C10" s="1" t="s">
        <v>24</v>
      </c>
      <c r="D10" s="3">
        <v>0.29166666666666669</v>
      </c>
      <c r="E10" t="s">
        <v>38</v>
      </c>
      <c r="F10" s="1"/>
      <c r="G10" s="1" t="s">
        <v>39</v>
      </c>
      <c r="H10" s="6"/>
      <c r="J10" s="6" t="s">
        <v>24</v>
      </c>
      <c r="K10" s="11">
        <v>29</v>
      </c>
      <c r="U10" s="2">
        <f>中央線快速_八王子・大月方面_平日[[#This Row],[発車時刻(Time)]]-$D9</f>
        <v>5.5555555555555358E-3</v>
      </c>
      <c r="V10" s="4">
        <f t="shared" si="0"/>
        <v>0.41861370716511054</v>
      </c>
    </row>
    <row r="11" spans="2:22" x14ac:dyDescent="0.2">
      <c r="B11" s="7" t="s">
        <v>55</v>
      </c>
      <c r="C11" s="1" t="s">
        <v>21</v>
      </c>
      <c r="D11" s="3">
        <v>0.29444444444444445</v>
      </c>
      <c r="E11" t="s">
        <v>35</v>
      </c>
      <c r="F11" s="1"/>
      <c r="G11" s="1"/>
      <c r="H11" s="6"/>
      <c r="J11" s="6" t="s">
        <v>47</v>
      </c>
      <c r="K11" s="11">
        <v>20</v>
      </c>
      <c r="U11" s="2">
        <f>中央線快速_八王子・大月方面_平日[[#This Row],[発車時刻(Time)]]-$D10</f>
        <v>2.7777777777777679E-3</v>
      </c>
      <c r="V11" s="4">
        <f t="shared" si="0"/>
        <v>0.83722741433022108</v>
      </c>
    </row>
    <row r="12" spans="2:22" x14ac:dyDescent="0.2">
      <c r="B12" s="7" t="s">
        <v>55</v>
      </c>
      <c r="C12" s="1" t="s">
        <v>21</v>
      </c>
      <c r="D12" s="3">
        <v>0.2986111111111111</v>
      </c>
      <c r="E12" t="s">
        <v>35</v>
      </c>
      <c r="F12" s="1"/>
      <c r="G12" s="1"/>
      <c r="H12" s="6"/>
      <c r="J12" s="6" t="s">
        <v>49</v>
      </c>
      <c r="K12" s="11">
        <v>8</v>
      </c>
      <c r="U12" s="2">
        <f>中央線快速_八王子・大月方面_平日[[#This Row],[発車時刻(Time)]]-$D11</f>
        <v>4.1666666666666519E-3</v>
      </c>
      <c r="V12" s="4">
        <f t="shared" si="0"/>
        <v>0.55815160955348075</v>
      </c>
    </row>
    <row r="13" spans="2:22" x14ac:dyDescent="0.2">
      <c r="B13" s="7" t="s">
        <v>55</v>
      </c>
      <c r="C13" s="1" t="s">
        <v>21</v>
      </c>
      <c r="D13" s="3">
        <v>0.30277777777777776</v>
      </c>
      <c r="E13" t="s">
        <v>35</v>
      </c>
      <c r="F13" s="1"/>
      <c r="G13" s="1"/>
      <c r="H13" s="6"/>
      <c r="J13" s="6" t="s">
        <v>25</v>
      </c>
      <c r="K13" s="11">
        <v>4</v>
      </c>
      <c r="U13" s="2">
        <f>中央線快速_八王子・大月方面_平日[[#This Row],[発車時刻(Time)]]-$D12</f>
        <v>4.1666666666666519E-3</v>
      </c>
      <c r="V13" s="4">
        <f t="shared" si="0"/>
        <v>0.55815160955348075</v>
      </c>
    </row>
    <row r="14" spans="2:22" x14ac:dyDescent="0.2">
      <c r="B14" s="7" t="s">
        <v>55</v>
      </c>
      <c r="C14" s="1" t="s">
        <v>21</v>
      </c>
      <c r="D14" s="3">
        <v>0.30486111111111108</v>
      </c>
      <c r="E14" t="s">
        <v>40</v>
      </c>
      <c r="F14" s="1"/>
      <c r="G14" s="1"/>
      <c r="H14" s="6"/>
      <c r="J14" s="6" t="s">
        <v>57</v>
      </c>
      <c r="K14" s="11">
        <v>322</v>
      </c>
      <c r="U14" s="2">
        <f>中央線快速_八王子・大月方面_平日[[#This Row],[発車時刻(Time)]]-$D13</f>
        <v>2.0833333333333259E-3</v>
      </c>
      <c r="V14" s="4">
        <f t="shared" si="0"/>
        <v>1.1163032191069615</v>
      </c>
    </row>
    <row r="15" spans="2:22" x14ac:dyDescent="0.2">
      <c r="B15" s="7" t="s">
        <v>55</v>
      </c>
      <c r="C15" s="1" t="s">
        <v>21</v>
      </c>
      <c r="D15" s="3">
        <v>0.30902777777777779</v>
      </c>
      <c r="E15" t="s">
        <v>35</v>
      </c>
      <c r="F15" s="1"/>
      <c r="G15" s="1"/>
      <c r="H15" s="6"/>
      <c r="U15" s="2">
        <f>中央線快速_八王子・大月方面_平日[[#This Row],[発車時刻(Time)]]-$D14</f>
        <v>4.1666666666667074E-3</v>
      </c>
      <c r="V15" s="4">
        <f t="shared" si="0"/>
        <v>0.55815160955347332</v>
      </c>
    </row>
    <row r="16" spans="2:22" x14ac:dyDescent="0.2">
      <c r="B16" s="9" t="s">
        <v>37</v>
      </c>
      <c r="C16" s="1" t="s">
        <v>24</v>
      </c>
      <c r="D16" s="3">
        <v>0.3125</v>
      </c>
      <c r="E16" t="s">
        <v>41</v>
      </c>
      <c r="F16" s="1"/>
      <c r="G16" s="1"/>
      <c r="H16" s="6"/>
      <c r="J16" s="12" t="s">
        <v>70</v>
      </c>
      <c r="K16" s="14">
        <f>AVERAGE(U4:U324)</f>
        <v>2.325631706472828E-3</v>
      </c>
      <c r="U16" s="2">
        <f>中央線快速_八王子・大月方面_平日[[#This Row],[発車時刻(Time)]]-$D15</f>
        <v>3.4722222222222099E-3</v>
      </c>
      <c r="V16" s="4">
        <f t="shared" si="0"/>
        <v>0.66978193146417686</v>
      </c>
    </row>
    <row r="17" spans="2:22" x14ac:dyDescent="0.2">
      <c r="B17" s="7" t="s">
        <v>55</v>
      </c>
      <c r="C17" s="1" t="s">
        <v>21</v>
      </c>
      <c r="D17" s="3">
        <v>0.31319444444444444</v>
      </c>
      <c r="E17" t="s">
        <v>35</v>
      </c>
      <c r="F17" s="1"/>
      <c r="G17" s="1"/>
      <c r="H17" s="6"/>
      <c r="U17" s="2">
        <f>中央線快速_八王子・大月方面_平日[[#This Row],[発車時刻(Time)]]-$D16</f>
        <v>6.9444444444444198E-4</v>
      </c>
      <c r="V17" s="4">
        <f t="shared" si="0"/>
        <v>3.3489096573208843</v>
      </c>
    </row>
    <row r="18" spans="2:22" x14ac:dyDescent="0.2">
      <c r="B18" s="7" t="s">
        <v>55</v>
      </c>
      <c r="C18" s="1" t="s">
        <v>21</v>
      </c>
      <c r="D18" s="3">
        <v>0.31527777777777777</v>
      </c>
      <c r="E18" t="s">
        <v>42</v>
      </c>
      <c r="F18" s="1"/>
      <c r="G18" s="1"/>
      <c r="H18" s="6"/>
      <c r="J18" s="10" t="s">
        <v>64</v>
      </c>
      <c r="K18" t="s">
        <v>60</v>
      </c>
      <c r="U18" s="2">
        <f>中央線快速_八王子・大月方面_平日[[#This Row],[発車時刻(Time)]]-$D17</f>
        <v>2.0833333333333259E-3</v>
      </c>
      <c r="V18" s="4">
        <f t="shared" si="0"/>
        <v>1.1163032191069615</v>
      </c>
    </row>
    <row r="19" spans="2:22" x14ac:dyDescent="0.2">
      <c r="B19" s="7" t="s">
        <v>55</v>
      </c>
      <c r="C19" s="1" t="s">
        <v>21</v>
      </c>
      <c r="D19" s="3">
        <v>0.31736111111111115</v>
      </c>
      <c r="E19" t="s">
        <v>35</v>
      </c>
      <c r="F19" s="1"/>
      <c r="G19" s="1"/>
      <c r="H19" s="6"/>
      <c r="J19" s="6" t="s">
        <v>35</v>
      </c>
      <c r="K19" s="11">
        <v>130</v>
      </c>
      <c r="U19" s="2">
        <f>中央線快速_八王子・大月方面_平日[[#This Row],[発車時刻(Time)]]-$D18</f>
        <v>2.0833333333333814E-3</v>
      </c>
      <c r="V19" s="4">
        <f t="shared" si="0"/>
        <v>1.1163032191069318</v>
      </c>
    </row>
    <row r="20" spans="2:22" x14ac:dyDescent="0.2">
      <c r="B20" s="7" t="s">
        <v>55</v>
      </c>
      <c r="C20" s="1" t="s">
        <v>21</v>
      </c>
      <c r="D20" s="3">
        <v>0.32013888888888892</v>
      </c>
      <c r="E20" t="s">
        <v>35</v>
      </c>
      <c r="F20" s="1"/>
      <c r="G20" s="1"/>
      <c r="H20" s="6"/>
      <c r="J20" s="6" t="s">
        <v>36</v>
      </c>
      <c r="K20" s="11">
        <v>49</v>
      </c>
      <c r="U20" s="2">
        <f>中央線快速_八王子・大月方面_平日[[#This Row],[発車時刻(Time)]]-$D19</f>
        <v>2.7777777777777679E-3</v>
      </c>
      <c r="V20" s="4">
        <f t="shared" si="0"/>
        <v>0.83722741433022108</v>
      </c>
    </row>
    <row r="21" spans="2:22" x14ac:dyDescent="0.2">
      <c r="B21" s="7" t="s">
        <v>55</v>
      </c>
      <c r="C21" s="1" t="s">
        <v>21</v>
      </c>
      <c r="D21" s="3">
        <v>0.3215277777777778</v>
      </c>
      <c r="E21" t="s">
        <v>42</v>
      </c>
      <c r="F21" s="1"/>
      <c r="G21" s="1"/>
      <c r="H21" s="6"/>
      <c r="J21" s="6" t="s">
        <v>43</v>
      </c>
      <c r="K21" s="11">
        <v>37</v>
      </c>
      <c r="U21" s="2">
        <f>中央線快速_八王子・大月方面_平日[[#This Row],[発車時刻(Time)]]-$D20</f>
        <v>1.388888888888884E-3</v>
      </c>
      <c r="V21" s="4">
        <f t="shared" si="0"/>
        <v>1.6744548286604422</v>
      </c>
    </row>
    <row r="22" spans="2:22" x14ac:dyDescent="0.2">
      <c r="B22" s="7" t="s">
        <v>55</v>
      </c>
      <c r="C22" s="1" t="s">
        <v>21</v>
      </c>
      <c r="D22" s="3">
        <v>0.32291666666666669</v>
      </c>
      <c r="E22" t="s">
        <v>36</v>
      </c>
      <c r="F22" s="1"/>
      <c r="G22" s="1"/>
      <c r="H22" s="6"/>
      <c r="J22" s="6" t="s">
        <v>40</v>
      </c>
      <c r="K22" s="11">
        <v>24</v>
      </c>
      <c r="U22" s="2">
        <f>中央線快速_八王子・大月方面_平日[[#This Row],[発車時刻(Time)]]-$D21</f>
        <v>1.388888888888884E-3</v>
      </c>
      <c r="V22" s="4">
        <f t="shared" si="0"/>
        <v>1.6744548286604422</v>
      </c>
    </row>
    <row r="23" spans="2:22" x14ac:dyDescent="0.2">
      <c r="B23" s="7" t="s">
        <v>55</v>
      </c>
      <c r="C23" s="1" t="s">
        <v>21</v>
      </c>
      <c r="D23" s="3">
        <v>0.32569444444444445</v>
      </c>
      <c r="E23" t="s">
        <v>35</v>
      </c>
      <c r="F23" s="1"/>
      <c r="G23" s="1"/>
      <c r="H23" s="6"/>
      <c r="J23" s="6" t="s">
        <v>42</v>
      </c>
      <c r="K23" s="11">
        <v>21</v>
      </c>
      <c r="U23" s="2">
        <f>中央線快速_八王子・大月方面_平日[[#This Row],[発車時刻(Time)]]-$D22</f>
        <v>2.7777777777777679E-3</v>
      </c>
      <c r="V23" s="4">
        <f t="shared" si="0"/>
        <v>0.83722741433022108</v>
      </c>
    </row>
    <row r="24" spans="2:22" x14ac:dyDescent="0.2">
      <c r="B24" s="7" t="s">
        <v>55</v>
      </c>
      <c r="C24" s="1" t="s">
        <v>21</v>
      </c>
      <c r="D24" s="3">
        <v>0.32916666666666666</v>
      </c>
      <c r="E24" t="s">
        <v>35</v>
      </c>
      <c r="F24" s="1"/>
      <c r="G24" s="1"/>
      <c r="H24" s="6"/>
      <c r="J24" s="6" t="s">
        <v>44</v>
      </c>
      <c r="K24" s="11">
        <v>20</v>
      </c>
      <c r="U24" s="2">
        <f>中央線快速_八王子・大月方面_平日[[#This Row],[発車時刻(Time)]]-$D23</f>
        <v>3.4722222222222099E-3</v>
      </c>
      <c r="V24" s="4">
        <f t="shared" si="0"/>
        <v>0.66978193146417686</v>
      </c>
    </row>
    <row r="25" spans="2:22" x14ac:dyDescent="0.2">
      <c r="B25" s="9" t="s">
        <v>37</v>
      </c>
      <c r="C25" s="1" t="s">
        <v>24</v>
      </c>
      <c r="D25" s="3">
        <v>0.33333333333333331</v>
      </c>
      <c r="E25" t="s">
        <v>38</v>
      </c>
      <c r="F25" s="1"/>
      <c r="G25" s="1" t="s">
        <v>39</v>
      </c>
      <c r="H25" s="6"/>
      <c r="J25" s="6" t="s">
        <v>38</v>
      </c>
      <c r="K25" s="11">
        <v>16</v>
      </c>
      <c r="U25" s="2">
        <f>中央線快速_八王子・大月方面_平日[[#This Row],[発車時刻(Time)]]-$D24</f>
        <v>4.1666666666666519E-3</v>
      </c>
      <c r="V25" s="4">
        <f t="shared" si="0"/>
        <v>0.55815160955348075</v>
      </c>
    </row>
    <row r="26" spans="2:22" x14ac:dyDescent="0.2">
      <c r="B26" s="7" t="s">
        <v>55</v>
      </c>
      <c r="C26" s="1" t="s">
        <v>21</v>
      </c>
      <c r="D26" s="3">
        <v>0.33402777777777781</v>
      </c>
      <c r="E26" t="s">
        <v>36</v>
      </c>
      <c r="F26" s="1"/>
      <c r="G26" s="1"/>
      <c r="H26" s="6"/>
      <c r="J26" s="6" t="s">
        <v>45</v>
      </c>
      <c r="K26" s="11">
        <v>9</v>
      </c>
      <c r="U26" s="2">
        <f>中央線快速_八王子・大月方面_平日[[#This Row],[発車時刻(Time)]]-$D25</f>
        <v>6.9444444444449749E-4</v>
      </c>
      <c r="V26" s="4">
        <f t="shared" si="0"/>
        <v>3.3489096573206165</v>
      </c>
    </row>
    <row r="27" spans="2:22" x14ac:dyDescent="0.2">
      <c r="B27" s="7" t="s">
        <v>55</v>
      </c>
      <c r="C27" s="1" t="s">
        <v>21</v>
      </c>
      <c r="D27" s="3">
        <v>0.3354166666666667</v>
      </c>
      <c r="E27" t="s">
        <v>42</v>
      </c>
      <c r="F27" s="1"/>
      <c r="G27" s="1"/>
      <c r="H27" s="6"/>
      <c r="J27" s="6" t="s">
        <v>46</v>
      </c>
      <c r="K27" s="11">
        <v>8</v>
      </c>
      <c r="U27" s="2">
        <f>中央線快速_八王子・大月方面_平日[[#This Row],[発車時刻(Time)]]-$D26</f>
        <v>1.388888888888884E-3</v>
      </c>
      <c r="V27" s="4">
        <f t="shared" si="0"/>
        <v>1.6744548286604422</v>
      </c>
    </row>
    <row r="28" spans="2:22" x14ac:dyDescent="0.2">
      <c r="B28" s="7" t="s">
        <v>55</v>
      </c>
      <c r="C28" s="1" t="s">
        <v>21</v>
      </c>
      <c r="D28" s="3">
        <v>0.33680555555555558</v>
      </c>
      <c r="E28" t="s">
        <v>35</v>
      </c>
      <c r="F28" s="1"/>
      <c r="G28" s="1"/>
      <c r="H28" s="6"/>
      <c r="J28" s="6" t="s">
        <v>51</v>
      </c>
      <c r="K28" s="11">
        <v>2</v>
      </c>
      <c r="U28" s="2">
        <f>中央線快速_八王子・大月方面_平日[[#This Row],[発車時刻(Time)]]-$D27</f>
        <v>1.388888888888884E-3</v>
      </c>
      <c r="V28" s="4">
        <f t="shared" si="0"/>
        <v>1.6744548286604422</v>
      </c>
    </row>
    <row r="29" spans="2:22" x14ac:dyDescent="0.2">
      <c r="B29" s="7" t="s">
        <v>55</v>
      </c>
      <c r="C29" s="1" t="s">
        <v>21</v>
      </c>
      <c r="D29" s="3">
        <v>0.33819444444444446</v>
      </c>
      <c r="E29" t="s">
        <v>42</v>
      </c>
      <c r="F29" s="1"/>
      <c r="G29" s="1"/>
      <c r="H29" s="6"/>
      <c r="J29" s="6" t="s">
        <v>50</v>
      </c>
      <c r="K29" s="11">
        <v>2</v>
      </c>
      <c r="U29" s="2">
        <f>中央線快速_八王子・大月方面_平日[[#This Row],[発車時刻(Time)]]-$D28</f>
        <v>1.388888888888884E-3</v>
      </c>
      <c r="V29" s="4">
        <f t="shared" si="0"/>
        <v>1.6744548286604422</v>
      </c>
    </row>
    <row r="30" spans="2:22" x14ac:dyDescent="0.2">
      <c r="B30" s="7" t="s">
        <v>55</v>
      </c>
      <c r="C30" s="1" t="s">
        <v>21</v>
      </c>
      <c r="D30" s="3">
        <v>0.34027777777777773</v>
      </c>
      <c r="E30" t="s">
        <v>35</v>
      </c>
      <c r="F30" s="1"/>
      <c r="G30" s="1"/>
      <c r="H30" s="6"/>
      <c r="J30" s="6" t="s">
        <v>52</v>
      </c>
      <c r="K30" s="11">
        <v>1</v>
      </c>
      <c r="U30" s="2">
        <f>中央線快速_八王子・大月方面_平日[[#This Row],[発車時刻(Time)]]-$D29</f>
        <v>2.0833333333332704E-3</v>
      </c>
      <c r="V30" s="4">
        <f t="shared" si="0"/>
        <v>1.1163032191069913</v>
      </c>
    </row>
    <row r="31" spans="2:22" x14ac:dyDescent="0.2">
      <c r="B31" s="7" t="s">
        <v>55</v>
      </c>
      <c r="C31" s="1" t="s">
        <v>21</v>
      </c>
      <c r="D31" s="3">
        <v>0.34166666666666662</v>
      </c>
      <c r="E31" t="s">
        <v>43</v>
      </c>
      <c r="F31" s="1"/>
      <c r="G31" s="1"/>
      <c r="H31" s="6"/>
      <c r="J31" s="6" t="s">
        <v>54</v>
      </c>
      <c r="K31" s="11">
        <v>1</v>
      </c>
      <c r="U31" s="2">
        <f>中央線快速_八王子・大月方面_平日[[#This Row],[発車時刻(Time)]]-$D30</f>
        <v>1.388888888888884E-3</v>
      </c>
      <c r="V31" s="4">
        <f t="shared" si="0"/>
        <v>1.6744548286604422</v>
      </c>
    </row>
    <row r="32" spans="2:22" x14ac:dyDescent="0.2">
      <c r="B32" s="7" t="s">
        <v>55</v>
      </c>
      <c r="C32" s="1" t="s">
        <v>21</v>
      </c>
      <c r="D32" s="3">
        <v>0.34375</v>
      </c>
      <c r="E32" t="s">
        <v>43</v>
      </c>
      <c r="F32" s="1"/>
      <c r="G32" s="1"/>
      <c r="H32" s="6"/>
      <c r="J32" s="6" t="s">
        <v>48</v>
      </c>
      <c r="K32" s="11">
        <v>1</v>
      </c>
      <c r="U32" s="2">
        <f>中央線快速_八王子・大月方面_平日[[#This Row],[発車時刻(Time)]]-$D31</f>
        <v>2.0833333333333814E-3</v>
      </c>
      <c r="V32" s="4">
        <f t="shared" si="0"/>
        <v>1.1163032191069318</v>
      </c>
    </row>
    <row r="33" spans="2:22" x14ac:dyDescent="0.2">
      <c r="B33" s="7" t="s">
        <v>55</v>
      </c>
      <c r="C33" s="1" t="s">
        <v>21</v>
      </c>
      <c r="D33" s="3">
        <v>0.34513888888888888</v>
      </c>
      <c r="E33" t="s">
        <v>35</v>
      </c>
      <c r="F33" s="1"/>
      <c r="G33" s="1"/>
      <c r="H33" s="6"/>
      <c r="J33" s="6" t="s">
        <v>41</v>
      </c>
      <c r="K33" s="11">
        <v>1</v>
      </c>
      <c r="U33" s="2">
        <f>中央線快速_八王子・大月方面_平日[[#This Row],[発車時刻(Time)]]-$D32</f>
        <v>1.388888888888884E-3</v>
      </c>
      <c r="V33" s="4">
        <f t="shared" si="0"/>
        <v>1.6744548286604422</v>
      </c>
    </row>
    <row r="34" spans="2:22" x14ac:dyDescent="0.2">
      <c r="B34" s="7" t="s">
        <v>55</v>
      </c>
      <c r="C34" s="1" t="s">
        <v>21</v>
      </c>
      <c r="D34" s="3">
        <v>0.34652777777777777</v>
      </c>
      <c r="E34" t="s">
        <v>36</v>
      </c>
      <c r="F34" s="1"/>
      <c r="G34" s="1"/>
      <c r="H34" s="6"/>
      <c r="U34" s="2">
        <f>中央線快速_八王子・大月方面_平日[[#This Row],[発車時刻(Time)]]-$D33</f>
        <v>1.388888888888884E-3</v>
      </c>
      <c r="V34" s="4">
        <f t="shared" si="0"/>
        <v>1.6744548286604422</v>
      </c>
    </row>
    <row r="35" spans="2:22" x14ac:dyDescent="0.2">
      <c r="B35" s="7" t="s">
        <v>55</v>
      </c>
      <c r="C35" s="1" t="s">
        <v>21</v>
      </c>
      <c r="D35" s="3">
        <v>0.34861111111111115</v>
      </c>
      <c r="E35" t="s">
        <v>42</v>
      </c>
      <c r="F35" s="1"/>
      <c r="G35" s="1"/>
      <c r="H35" s="6"/>
      <c r="J35" s="10" t="s">
        <v>65</v>
      </c>
      <c r="K35" t="s">
        <v>62</v>
      </c>
      <c r="U35" s="2">
        <f>中央線快速_八王子・大月方面_平日[[#This Row],[発車時刻(Time)]]-$D34</f>
        <v>2.0833333333333814E-3</v>
      </c>
      <c r="V35" s="4">
        <f t="shared" si="0"/>
        <v>1.1163032191069318</v>
      </c>
    </row>
    <row r="36" spans="2:22" x14ac:dyDescent="0.2">
      <c r="B36" s="7" t="s">
        <v>55</v>
      </c>
      <c r="C36" s="1" t="s">
        <v>21</v>
      </c>
      <c r="D36" s="3">
        <v>0.35000000000000003</v>
      </c>
      <c r="E36" t="s">
        <v>35</v>
      </c>
      <c r="F36" s="1"/>
      <c r="G36" s="1"/>
      <c r="H36" s="6"/>
      <c r="J36" s="6" t="s">
        <v>39</v>
      </c>
      <c r="K36" s="11"/>
      <c r="U36" s="2">
        <f>中央線快速_八王子・大月方面_平日[[#This Row],[発車時刻(Time)]]-$D35</f>
        <v>1.388888888888884E-3</v>
      </c>
      <c r="V36" s="4">
        <f t="shared" si="0"/>
        <v>1.6744548286604422</v>
      </c>
    </row>
    <row r="37" spans="2:22" x14ac:dyDescent="0.2">
      <c r="B37" s="7" t="s">
        <v>55</v>
      </c>
      <c r="C37" s="1" t="s">
        <v>21</v>
      </c>
      <c r="D37" s="3">
        <v>0.35138888888888892</v>
      </c>
      <c r="E37" t="s">
        <v>40</v>
      </c>
      <c r="F37" s="1"/>
      <c r="G37" s="1"/>
      <c r="H37" s="6"/>
      <c r="J37" s="13" t="s">
        <v>34</v>
      </c>
      <c r="K37" s="11">
        <v>2</v>
      </c>
      <c r="U37" s="2">
        <f>中央線快速_八王子・大月方面_平日[[#This Row],[発車時刻(Time)]]-$D36</f>
        <v>1.388888888888884E-3</v>
      </c>
      <c r="V37" s="4">
        <f t="shared" si="0"/>
        <v>1.6744548286604422</v>
      </c>
    </row>
    <row r="38" spans="2:22" x14ac:dyDescent="0.2">
      <c r="B38" s="7" t="s">
        <v>55</v>
      </c>
      <c r="C38" s="1" t="s">
        <v>21</v>
      </c>
      <c r="D38" s="3">
        <v>0.3527777777777778</v>
      </c>
      <c r="E38" t="s">
        <v>43</v>
      </c>
      <c r="F38" s="1"/>
      <c r="G38" s="1"/>
      <c r="H38" s="6"/>
      <c r="J38" s="13" t="s">
        <v>59</v>
      </c>
      <c r="K38" s="11">
        <v>21</v>
      </c>
      <c r="U38" s="2">
        <f>中央線快速_八王子・大月方面_平日[[#This Row],[発車時刻(Time)]]-$D37</f>
        <v>1.388888888888884E-3</v>
      </c>
      <c r="V38" s="4">
        <f t="shared" si="0"/>
        <v>1.6744548286604422</v>
      </c>
    </row>
    <row r="39" spans="2:22" x14ac:dyDescent="0.2">
      <c r="B39" s="9" t="s">
        <v>37</v>
      </c>
      <c r="C39" s="1" t="s">
        <v>24</v>
      </c>
      <c r="D39" s="3">
        <v>0.35416666666666669</v>
      </c>
      <c r="E39" t="s">
        <v>38</v>
      </c>
      <c r="F39" s="1"/>
      <c r="G39" s="1" t="s">
        <v>39</v>
      </c>
      <c r="H39" s="6"/>
      <c r="J39" s="6" t="s">
        <v>57</v>
      </c>
      <c r="K39" s="11">
        <v>23</v>
      </c>
      <c r="U39" s="2">
        <f>中央線快速_八王子・大月方面_平日[[#This Row],[発車時刻(Time)]]-$D38</f>
        <v>1.388888888888884E-3</v>
      </c>
      <c r="V39" s="4">
        <f t="shared" si="0"/>
        <v>1.6744548286604422</v>
      </c>
    </row>
    <row r="40" spans="2:22" x14ac:dyDescent="0.2">
      <c r="B40" s="7" t="s">
        <v>55</v>
      </c>
      <c r="C40" s="1" t="s">
        <v>21</v>
      </c>
      <c r="D40" s="3">
        <v>0.35555555555555557</v>
      </c>
      <c r="E40" t="s">
        <v>35</v>
      </c>
      <c r="F40" s="1"/>
      <c r="G40" s="1"/>
      <c r="H40" s="6"/>
      <c r="U40" s="2">
        <f>中央線快速_八王子・大月方面_平日[[#This Row],[発車時刻(Time)]]-$D39</f>
        <v>1.388888888888884E-3</v>
      </c>
      <c r="V40" s="4">
        <f t="shared" si="0"/>
        <v>1.6744548286604422</v>
      </c>
    </row>
    <row r="41" spans="2:22" x14ac:dyDescent="0.2">
      <c r="B41" s="7" t="s">
        <v>55</v>
      </c>
      <c r="C41" s="1" t="s">
        <v>21</v>
      </c>
      <c r="D41" s="3">
        <v>0.35694444444444445</v>
      </c>
      <c r="E41" t="s">
        <v>42</v>
      </c>
      <c r="F41" s="1"/>
      <c r="G41" s="1"/>
      <c r="H41" s="6"/>
      <c r="U41" s="2">
        <f>中央線快速_八王子・大月方面_平日[[#This Row],[発車時刻(Time)]]-$D40</f>
        <v>1.388888888888884E-3</v>
      </c>
      <c r="V41" s="4">
        <f t="shared" si="0"/>
        <v>1.6744548286604422</v>
      </c>
    </row>
    <row r="42" spans="2:22" x14ac:dyDescent="0.2">
      <c r="B42" s="7" t="s">
        <v>55</v>
      </c>
      <c r="C42" s="1" t="s">
        <v>21</v>
      </c>
      <c r="D42" s="3">
        <v>0.35833333333333334</v>
      </c>
      <c r="E42" t="s">
        <v>43</v>
      </c>
      <c r="F42" s="1"/>
      <c r="G42" s="1"/>
      <c r="H42" s="6"/>
      <c r="U42" s="2">
        <f>中央線快速_八王子・大月方面_平日[[#This Row],[発車時刻(Time)]]-$D41</f>
        <v>1.388888888888884E-3</v>
      </c>
      <c r="V42" s="4">
        <f t="shared" si="0"/>
        <v>1.6744548286604422</v>
      </c>
    </row>
    <row r="43" spans="2:22" x14ac:dyDescent="0.2">
      <c r="B43" s="7" t="s">
        <v>55</v>
      </c>
      <c r="C43" s="1" t="s">
        <v>21</v>
      </c>
      <c r="D43" s="3">
        <v>0.35972222222222222</v>
      </c>
      <c r="E43" t="s">
        <v>35</v>
      </c>
      <c r="F43" s="1"/>
      <c r="G43" s="1"/>
      <c r="H43" s="6"/>
      <c r="U43" s="2">
        <f>中央線快速_八王子・大月方面_平日[[#This Row],[発車時刻(Time)]]-$D42</f>
        <v>1.388888888888884E-3</v>
      </c>
      <c r="V43" s="4">
        <f t="shared" si="0"/>
        <v>1.6744548286604422</v>
      </c>
    </row>
    <row r="44" spans="2:22" x14ac:dyDescent="0.2">
      <c r="B44" s="7" t="s">
        <v>55</v>
      </c>
      <c r="C44" s="1" t="s">
        <v>21</v>
      </c>
      <c r="D44" s="3">
        <v>0.3611111111111111</v>
      </c>
      <c r="E44" t="s">
        <v>43</v>
      </c>
      <c r="F44" s="1"/>
      <c r="G44" s="1"/>
      <c r="H44" s="6"/>
      <c r="U44" s="2">
        <f>中央線快速_八王子・大月方面_平日[[#This Row],[発車時刻(Time)]]-$D43</f>
        <v>1.388888888888884E-3</v>
      </c>
      <c r="V44" s="4">
        <f t="shared" si="0"/>
        <v>1.6744548286604422</v>
      </c>
    </row>
    <row r="45" spans="2:22" x14ac:dyDescent="0.2">
      <c r="B45" s="7" t="s">
        <v>55</v>
      </c>
      <c r="C45" s="1" t="s">
        <v>21</v>
      </c>
      <c r="D45" s="3">
        <v>0.36249999999999999</v>
      </c>
      <c r="E45" t="s">
        <v>44</v>
      </c>
      <c r="F45" s="1"/>
      <c r="G45" s="1"/>
      <c r="H45" s="6"/>
      <c r="U45" s="2">
        <f>中央線快速_八王子・大月方面_平日[[#This Row],[発車時刻(Time)]]-$D44</f>
        <v>1.388888888888884E-3</v>
      </c>
      <c r="V45" s="4">
        <f t="shared" si="0"/>
        <v>1.6744548286604422</v>
      </c>
    </row>
    <row r="46" spans="2:22" x14ac:dyDescent="0.2">
      <c r="B46" s="7" t="s">
        <v>55</v>
      </c>
      <c r="C46" s="1" t="s">
        <v>21</v>
      </c>
      <c r="D46" s="3">
        <v>0.36388888888888887</v>
      </c>
      <c r="E46" t="s">
        <v>43</v>
      </c>
      <c r="F46" s="1"/>
      <c r="G46" s="1"/>
      <c r="H46" s="6"/>
      <c r="U46" s="2">
        <f>中央線快速_八王子・大月方面_平日[[#This Row],[発車時刻(Time)]]-$D45</f>
        <v>1.388888888888884E-3</v>
      </c>
      <c r="V46" s="4">
        <f t="shared" si="0"/>
        <v>1.6744548286604422</v>
      </c>
    </row>
    <row r="47" spans="2:22" x14ac:dyDescent="0.2">
      <c r="B47" s="7" t="s">
        <v>55</v>
      </c>
      <c r="C47" s="1" t="s">
        <v>21</v>
      </c>
      <c r="D47" s="3">
        <v>0.36527777777777781</v>
      </c>
      <c r="E47" t="s">
        <v>35</v>
      </c>
      <c r="F47" s="1"/>
      <c r="G47" s="1"/>
      <c r="H47" s="6"/>
      <c r="U47" s="2">
        <f>中央線快速_八王子・大月方面_平日[[#This Row],[発車時刻(Time)]]-$D46</f>
        <v>1.3888888888889395E-3</v>
      </c>
      <c r="V47" s="4">
        <f t="shared" si="0"/>
        <v>1.6744548286603753</v>
      </c>
    </row>
    <row r="48" spans="2:22" x14ac:dyDescent="0.2">
      <c r="B48" s="7" t="s">
        <v>55</v>
      </c>
      <c r="C48" s="1" t="s">
        <v>21</v>
      </c>
      <c r="D48" s="3">
        <v>0.3666666666666667</v>
      </c>
      <c r="E48" t="s">
        <v>36</v>
      </c>
      <c r="F48" s="1"/>
      <c r="G48" s="1"/>
      <c r="H48" s="6"/>
      <c r="U48" s="2">
        <f>中央線快速_八王子・大月方面_平日[[#This Row],[発車時刻(Time)]]-$D47</f>
        <v>1.388888888888884E-3</v>
      </c>
      <c r="V48" s="4">
        <f t="shared" si="0"/>
        <v>1.6744548286604422</v>
      </c>
    </row>
    <row r="49" spans="2:22" x14ac:dyDescent="0.2">
      <c r="B49" s="7" t="s">
        <v>55</v>
      </c>
      <c r="C49" s="1" t="s">
        <v>21</v>
      </c>
      <c r="D49" s="3">
        <v>0.36805555555555558</v>
      </c>
      <c r="E49" t="s">
        <v>42</v>
      </c>
      <c r="F49" s="1"/>
      <c r="G49" s="1"/>
      <c r="H49" s="6"/>
      <c r="U49" s="2">
        <f>中央線快速_八王子・大月方面_平日[[#This Row],[発車時刻(Time)]]-$D48</f>
        <v>1.388888888888884E-3</v>
      </c>
      <c r="V49" s="4">
        <f t="shared" si="0"/>
        <v>1.6744548286604422</v>
      </c>
    </row>
    <row r="50" spans="2:22" x14ac:dyDescent="0.2">
      <c r="B50" s="7" t="s">
        <v>55</v>
      </c>
      <c r="C50" s="1" t="s">
        <v>21</v>
      </c>
      <c r="D50" s="3">
        <v>0.36944444444444446</v>
      </c>
      <c r="E50" t="s">
        <v>40</v>
      </c>
      <c r="F50" s="1"/>
      <c r="G50" s="1"/>
      <c r="H50" s="6"/>
      <c r="U50" s="2">
        <f>中央線快速_八王子・大月方面_平日[[#This Row],[発車時刻(Time)]]-$D49</f>
        <v>1.388888888888884E-3</v>
      </c>
      <c r="V50" s="4">
        <f t="shared" si="0"/>
        <v>1.6744548286604422</v>
      </c>
    </row>
    <row r="51" spans="2:22" x14ac:dyDescent="0.2">
      <c r="B51" s="7" t="s">
        <v>55</v>
      </c>
      <c r="C51" s="1" t="s">
        <v>21</v>
      </c>
      <c r="D51" s="3">
        <v>0.37083333333333335</v>
      </c>
      <c r="E51" t="s">
        <v>43</v>
      </c>
      <c r="F51" s="1"/>
      <c r="G51" s="1"/>
      <c r="H51" s="6"/>
      <c r="U51" s="2">
        <f>中央線快速_八王子・大月方面_平日[[#This Row],[発車時刻(Time)]]-$D50</f>
        <v>1.388888888888884E-3</v>
      </c>
      <c r="V51" s="4">
        <f t="shared" si="0"/>
        <v>1.6744548286604422</v>
      </c>
    </row>
    <row r="52" spans="2:22" x14ac:dyDescent="0.2">
      <c r="B52" s="7" t="s">
        <v>55</v>
      </c>
      <c r="C52" s="1" t="s">
        <v>21</v>
      </c>
      <c r="D52" s="3">
        <v>0.37222222222222223</v>
      </c>
      <c r="E52" t="s">
        <v>42</v>
      </c>
      <c r="F52" s="1"/>
      <c r="G52" s="1"/>
      <c r="H52" s="6"/>
      <c r="U52" s="2">
        <f>中央線快速_八王子・大月方面_平日[[#This Row],[発車時刻(Time)]]-$D51</f>
        <v>1.388888888888884E-3</v>
      </c>
      <c r="V52" s="4">
        <f t="shared" si="0"/>
        <v>1.6744548286604422</v>
      </c>
    </row>
    <row r="53" spans="2:22" x14ac:dyDescent="0.2">
      <c r="B53" s="7" t="s">
        <v>55</v>
      </c>
      <c r="C53" s="1" t="s">
        <v>21</v>
      </c>
      <c r="D53" s="3">
        <v>0.37361111111111112</v>
      </c>
      <c r="E53" t="s">
        <v>35</v>
      </c>
      <c r="F53" s="1"/>
      <c r="G53" s="1"/>
      <c r="H53" s="6"/>
      <c r="U53" s="2">
        <f>中央線快速_八王子・大月方面_平日[[#This Row],[発車時刻(Time)]]-$D52</f>
        <v>1.388888888888884E-3</v>
      </c>
      <c r="V53" s="4">
        <f t="shared" si="0"/>
        <v>1.6744548286604422</v>
      </c>
    </row>
    <row r="54" spans="2:22" x14ac:dyDescent="0.2">
      <c r="B54" s="9" t="s">
        <v>37</v>
      </c>
      <c r="C54" s="1" t="s">
        <v>24</v>
      </c>
      <c r="D54" s="3">
        <v>0.375</v>
      </c>
      <c r="E54" t="s">
        <v>38</v>
      </c>
      <c r="F54" s="1"/>
      <c r="G54" s="1" t="s">
        <v>39</v>
      </c>
      <c r="H54" s="6"/>
      <c r="U54" s="2">
        <f>中央線快速_八王子・大月方面_平日[[#This Row],[発車時刻(Time)]]-$D53</f>
        <v>1.388888888888884E-3</v>
      </c>
      <c r="V54" s="4">
        <f t="shared" si="0"/>
        <v>1.6744548286604422</v>
      </c>
    </row>
    <row r="55" spans="2:22" x14ac:dyDescent="0.2">
      <c r="B55" s="7" t="s">
        <v>55</v>
      </c>
      <c r="C55" s="1" t="s">
        <v>21</v>
      </c>
      <c r="D55" s="3">
        <v>0.37638888888888888</v>
      </c>
      <c r="E55" t="s">
        <v>43</v>
      </c>
      <c r="F55" s="1"/>
      <c r="G55" s="1"/>
      <c r="H55" s="6"/>
      <c r="U55" s="2">
        <f>中央線快速_八王子・大月方面_平日[[#This Row],[発車時刻(Time)]]-$D54</f>
        <v>1.388888888888884E-3</v>
      </c>
      <c r="V55" s="4">
        <f t="shared" si="0"/>
        <v>1.6744548286604422</v>
      </c>
    </row>
    <row r="56" spans="2:22" x14ac:dyDescent="0.2">
      <c r="B56" s="7" t="s">
        <v>55</v>
      </c>
      <c r="C56" s="1" t="s">
        <v>21</v>
      </c>
      <c r="D56" s="3">
        <v>0.37777777777777777</v>
      </c>
      <c r="E56" t="s">
        <v>35</v>
      </c>
      <c r="F56" s="1"/>
      <c r="G56" s="1"/>
      <c r="H56" s="6"/>
      <c r="U56" s="2">
        <f>中央線快速_八王子・大月方面_平日[[#This Row],[発車時刻(Time)]]-$D55</f>
        <v>1.388888888888884E-3</v>
      </c>
      <c r="V56" s="4">
        <f t="shared" si="0"/>
        <v>1.6744548286604422</v>
      </c>
    </row>
    <row r="57" spans="2:22" x14ac:dyDescent="0.2">
      <c r="B57" s="7" t="s">
        <v>55</v>
      </c>
      <c r="C57" s="1" t="s">
        <v>21</v>
      </c>
      <c r="D57" s="3">
        <v>0.37916666666666665</v>
      </c>
      <c r="E57" t="s">
        <v>43</v>
      </c>
      <c r="F57" s="1"/>
      <c r="G57" s="1"/>
      <c r="H57" s="6"/>
      <c r="U57" s="2">
        <f>中央線快速_八王子・大月方面_平日[[#This Row],[発車時刻(Time)]]-$D56</f>
        <v>1.388888888888884E-3</v>
      </c>
      <c r="V57" s="4">
        <f t="shared" si="0"/>
        <v>1.6744548286604422</v>
      </c>
    </row>
    <row r="58" spans="2:22" x14ac:dyDescent="0.2">
      <c r="B58" s="7" t="s">
        <v>55</v>
      </c>
      <c r="C58" s="1" t="s">
        <v>21</v>
      </c>
      <c r="D58" s="3">
        <v>0.38055555555555554</v>
      </c>
      <c r="E58" t="s">
        <v>42</v>
      </c>
      <c r="F58" s="1"/>
      <c r="G58" s="1"/>
      <c r="H58" s="6"/>
      <c r="U58" s="2">
        <f>中央線快速_八王子・大月方面_平日[[#This Row],[発車時刻(Time)]]-$D57</f>
        <v>1.388888888888884E-3</v>
      </c>
      <c r="V58" s="4">
        <f t="shared" si="0"/>
        <v>1.6744548286604422</v>
      </c>
    </row>
    <row r="59" spans="2:22" x14ac:dyDescent="0.2">
      <c r="B59" s="7" t="s">
        <v>55</v>
      </c>
      <c r="C59" s="1" t="s">
        <v>21</v>
      </c>
      <c r="D59" s="3">
        <v>0.38194444444444442</v>
      </c>
      <c r="E59" t="s">
        <v>44</v>
      </c>
      <c r="F59" s="1"/>
      <c r="G59" s="1"/>
      <c r="H59" s="6"/>
      <c r="U59" s="2">
        <f>中央線快速_八王子・大月方面_平日[[#This Row],[発車時刻(Time)]]-$D58</f>
        <v>1.388888888888884E-3</v>
      </c>
      <c r="V59" s="4">
        <f t="shared" si="0"/>
        <v>1.6744548286604422</v>
      </c>
    </row>
    <row r="60" spans="2:22" x14ac:dyDescent="0.2">
      <c r="B60" s="7" t="s">
        <v>55</v>
      </c>
      <c r="C60" s="1" t="s">
        <v>21</v>
      </c>
      <c r="D60" s="3">
        <v>0.3833333333333333</v>
      </c>
      <c r="E60" t="s">
        <v>35</v>
      </c>
      <c r="F60" s="1"/>
      <c r="G60" s="1"/>
      <c r="H60" s="6"/>
      <c r="U60" s="2">
        <f>中央線快速_八王子・大月方面_平日[[#This Row],[発車時刻(Time)]]-$D59</f>
        <v>1.388888888888884E-3</v>
      </c>
      <c r="V60" s="4">
        <f t="shared" si="0"/>
        <v>1.6744548286604422</v>
      </c>
    </row>
    <row r="61" spans="2:22" x14ac:dyDescent="0.2">
      <c r="B61" s="7" t="s">
        <v>55</v>
      </c>
      <c r="C61" s="1" t="s">
        <v>21</v>
      </c>
      <c r="D61" s="3">
        <v>0.38472222222222219</v>
      </c>
      <c r="E61" t="s">
        <v>42</v>
      </c>
      <c r="F61" s="1"/>
      <c r="G61" s="1"/>
      <c r="H61" s="6"/>
      <c r="U61" s="2">
        <f>中央線快速_八王子・大月方面_平日[[#This Row],[発車時刻(Time)]]-$D60</f>
        <v>1.388888888888884E-3</v>
      </c>
      <c r="V61" s="4">
        <f t="shared" si="0"/>
        <v>1.6744548286604422</v>
      </c>
    </row>
    <row r="62" spans="2:22" x14ac:dyDescent="0.2">
      <c r="B62" s="7" t="s">
        <v>55</v>
      </c>
      <c r="C62" s="1" t="s">
        <v>21</v>
      </c>
      <c r="D62" s="3">
        <v>0.38611111111111113</v>
      </c>
      <c r="E62" t="s">
        <v>36</v>
      </c>
      <c r="F62" s="1"/>
      <c r="G62" s="1"/>
      <c r="H62" s="6"/>
      <c r="U62" s="2">
        <f>中央線快速_八王子・大月方面_平日[[#This Row],[発車時刻(Time)]]-$D61</f>
        <v>1.3888888888889395E-3</v>
      </c>
      <c r="V62" s="4">
        <f t="shared" si="0"/>
        <v>1.6744548286603753</v>
      </c>
    </row>
    <row r="63" spans="2:22" x14ac:dyDescent="0.2">
      <c r="B63" s="7" t="s">
        <v>55</v>
      </c>
      <c r="C63" s="1" t="s">
        <v>21</v>
      </c>
      <c r="D63" s="3">
        <v>0.38750000000000001</v>
      </c>
      <c r="E63" t="s">
        <v>42</v>
      </c>
      <c r="F63" s="1"/>
      <c r="G63" s="1"/>
      <c r="H63" s="6"/>
      <c r="U63" s="2">
        <f>中央線快速_八王子・大月方面_平日[[#This Row],[発車時刻(Time)]]-$D62</f>
        <v>1.388888888888884E-3</v>
      </c>
      <c r="V63" s="4">
        <f t="shared" si="0"/>
        <v>1.6744548286604422</v>
      </c>
    </row>
    <row r="64" spans="2:22" x14ac:dyDescent="0.2">
      <c r="B64" s="7" t="s">
        <v>55</v>
      </c>
      <c r="C64" s="1" t="s">
        <v>21</v>
      </c>
      <c r="D64" s="3">
        <v>0.3888888888888889</v>
      </c>
      <c r="E64" t="s">
        <v>45</v>
      </c>
      <c r="F64" s="1"/>
      <c r="G64" s="1"/>
      <c r="H64" s="6"/>
      <c r="U64" s="2">
        <f>中央線快速_八王子・大月方面_平日[[#This Row],[発車時刻(Time)]]-$D63</f>
        <v>1.388888888888884E-3</v>
      </c>
      <c r="V64" s="4">
        <f t="shared" si="0"/>
        <v>1.6744548286604422</v>
      </c>
    </row>
    <row r="65" spans="2:22" x14ac:dyDescent="0.2">
      <c r="B65" s="7" t="s">
        <v>55</v>
      </c>
      <c r="C65" s="1" t="s">
        <v>21</v>
      </c>
      <c r="D65" s="3">
        <v>0.39027777777777778</v>
      </c>
      <c r="E65" t="s">
        <v>44</v>
      </c>
      <c r="F65" s="1"/>
      <c r="G65" s="1"/>
      <c r="H65" s="6"/>
      <c r="U65" s="2">
        <f>中央線快速_八王子・大月方面_平日[[#This Row],[発車時刻(Time)]]-$D64</f>
        <v>1.388888888888884E-3</v>
      </c>
      <c r="V65" s="4">
        <f t="shared" si="0"/>
        <v>1.6744548286604422</v>
      </c>
    </row>
    <row r="66" spans="2:22" x14ac:dyDescent="0.2">
      <c r="B66" s="7" t="s">
        <v>55</v>
      </c>
      <c r="C66" s="1" t="s">
        <v>21</v>
      </c>
      <c r="D66" s="3">
        <v>0.39166666666666666</v>
      </c>
      <c r="E66" t="s">
        <v>43</v>
      </c>
      <c r="F66" s="1"/>
      <c r="G66" s="1"/>
      <c r="H66" s="6"/>
      <c r="U66" s="2">
        <f>中央線快速_八王子・大月方面_平日[[#This Row],[発車時刻(Time)]]-$D65</f>
        <v>1.388888888888884E-3</v>
      </c>
      <c r="V66" s="4">
        <f t="shared" si="0"/>
        <v>1.6744548286604422</v>
      </c>
    </row>
    <row r="67" spans="2:22" x14ac:dyDescent="0.2">
      <c r="B67" s="7" t="s">
        <v>55</v>
      </c>
      <c r="C67" s="1" t="s">
        <v>21</v>
      </c>
      <c r="D67" s="3">
        <v>0.39305555555555555</v>
      </c>
      <c r="E67" t="s">
        <v>35</v>
      </c>
      <c r="F67" s="1"/>
      <c r="G67" s="1"/>
      <c r="H67" s="6"/>
      <c r="U67" s="2">
        <f>中央線快速_八王子・大月方面_平日[[#This Row],[発車時刻(Time)]]-$D66</f>
        <v>1.388888888888884E-3</v>
      </c>
      <c r="V67" s="4">
        <f t="shared" si="0"/>
        <v>1.6744548286604422</v>
      </c>
    </row>
    <row r="68" spans="2:22" x14ac:dyDescent="0.2">
      <c r="B68" s="7" t="s">
        <v>55</v>
      </c>
      <c r="C68" s="1" t="s">
        <v>21</v>
      </c>
      <c r="D68" s="3">
        <v>0.39444444444444443</v>
      </c>
      <c r="E68" t="s">
        <v>43</v>
      </c>
      <c r="F68" s="1"/>
      <c r="G68" s="1"/>
      <c r="H68" s="6"/>
      <c r="U68" s="2">
        <f>中央線快速_八王子・大月方面_平日[[#This Row],[発車時刻(Time)]]-$D67</f>
        <v>1.388888888888884E-3</v>
      </c>
      <c r="V68" s="4">
        <f t="shared" ref="V68:V131" si="1">IFERROR((1/(U68/$K$16)), 0)</f>
        <v>1.6744548286604422</v>
      </c>
    </row>
    <row r="69" spans="2:22" x14ac:dyDescent="0.2">
      <c r="B69" s="7" t="s">
        <v>55</v>
      </c>
      <c r="C69" s="1" t="s">
        <v>21</v>
      </c>
      <c r="D69" s="3">
        <v>0.39652777777777781</v>
      </c>
      <c r="E69" t="s">
        <v>42</v>
      </c>
      <c r="F69" s="1"/>
      <c r="G69" s="1"/>
      <c r="H69" s="6"/>
      <c r="U69" s="2">
        <f>中央線快速_八王子・大月方面_平日[[#This Row],[発車時刻(Time)]]-$D68</f>
        <v>2.0833333333333814E-3</v>
      </c>
      <c r="V69" s="4">
        <f t="shared" si="1"/>
        <v>1.1163032191069318</v>
      </c>
    </row>
    <row r="70" spans="2:22" x14ac:dyDescent="0.2">
      <c r="B70" s="7" t="s">
        <v>55</v>
      </c>
      <c r="C70" s="1" t="s">
        <v>21</v>
      </c>
      <c r="D70" s="3">
        <v>0.39930555555555558</v>
      </c>
      <c r="E70" t="s">
        <v>36</v>
      </c>
      <c r="F70" s="1"/>
      <c r="G70" s="1"/>
      <c r="H70" s="6"/>
      <c r="U70" s="2">
        <f>中央線快速_八王子・大月方面_平日[[#This Row],[発車時刻(Time)]]-$D69</f>
        <v>2.7777777777777679E-3</v>
      </c>
      <c r="V70" s="4">
        <f t="shared" si="1"/>
        <v>0.83722741433022108</v>
      </c>
    </row>
    <row r="71" spans="2:22" x14ac:dyDescent="0.2">
      <c r="B71" s="7" t="s">
        <v>55</v>
      </c>
      <c r="C71" s="1" t="s">
        <v>21</v>
      </c>
      <c r="D71" s="3">
        <v>0.40069444444444446</v>
      </c>
      <c r="E71" t="s">
        <v>43</v>
      </c>
      <c r="F71" s="1"/>
      <c r="G71" s="1"/>
      <c r="H71" s="6"/>
      <c r="U71" s="2">
        <f>中央線快速_八王子・大月方面_平日[[#This Row],[発車時刻(Time)]]-$D70</f>
        <v>1.388888888888884E-3</v>
      </c>
      <c r="V71" s="4">
        <f t="shared" si="1"/>
        <v>1.6744548286604422</v>
      </c>
    </row>
    <row r="72" spans="2:22" x14ac:dyDescent="0.2">
      <c r="B72" s="7" t="s">
        <v>55</v>
      </c>
      <c r="C72" s="1" t="s">
        <v>21</v>
      </c>
      <c r="D72" s="3">
        <v>0.40208333333333335</v>
      </c>
      <c r="E72" t="s">
        <v>42</v>
      </c>
      <c r="F72" s="1"/>
      <c r="G72" s="1"/>
      <c r="H72" s="6"/>
      <c r="U72" s="2">
        <f>中央線快速_八王子・大月方面_平日[[#This Row],[発車時刻(Time)]]-$D71</f>
        <v>1.388888888888884E-3</v>
      </c>
      <c r="V72" s="4">
        <f t="shared" si="1"/>
        <v>1.6744548286604422</v>
      </c>
    </row>
    <row r="73" spans="2:22" x14ac:dyDescent="0.2">
      <c r="B73" s="7" t="s">
        <v>55</v>
      </c>
      <c r="C73" s="1" t="s">
        <v>21</v>
      </c>
      <c r="D73" s="3">
        <v>0.40416666666666662</v>
      </c>
      <c r="E73" t="s">
        <v>35</v>
      </c>
      <c r="F73" s="1"/>
      <c r="G73" s="1"/>
      <c r="H73" s="6"/>
      <c r="U73" s="2">
        <f>中央線快速_八王子・大月方面_平日[[#This Row],[発車時刻(Time)]]-$D72</f>
        <v>2.0833333333332704E-3</v>
      </c>
      <c r="V73" s="4">
        <f t="shared" si="1"/>
        <v>1.1163032191069913</v>
      </c>
    </row>
    <row r="74" spans="2:22" x14ac:dyDescent="0.2">
      <c r="B74" s="7" t="s">
        <v>55</v>
      </c>
      <c r="C74" s="1" t="s">
        <v>22</v>
      </c>
      <c r="D74" s="3">
        <v>0.40763888888888888</v>
      </c>
      <c r="E74" t="s">
        <v>35</v>
      </c>
      <c r="F74" s="1"/>
      <c r="G74" s="1"/>
      <c r="H74" s="6"/>
      <c r="U74" s="2">
        <f>中央線快速_八王子・大月方面_平日[[#This Row],[発車時刻(Time)]]-$D73</f>
        <v>3.4722222222222654E-3</v>
      </c>
      <c r="V74" s="4">
        <f t="shared" si="1"/>
        <v>0.6697819314641662</v>
      </c>
    </row>
    <row r="75" spans="2:22" x14ac:dyDescent="0.2">
      <c r="B75" s="7" t="s">
        <v>55</v>
      </c>
      <c r="C75" s="1" t="s">
        <v>21</v>
      </c>
      <c r="D75" s="3">
        <v>0.40902777777777777</v>
      </c>
      <c r="E75" t="s">
        <v>42</v>
      </c>
      <c r="F75" s="1"/>
      <c r="G75" s="1"/>
      <c r="H75" s="6"/>
      <c r="U75" s="2">
        <f>中央線快速_八王子・大月方面_平日[[#This Row],[発車時刻(Time)]]-$D74</f>
        <v>1.388888888888884E-3</v>
      </c>
      <c r="V75" s="4">
        <f t="shared" si="1"/>
        <v>1.6744548286604422</v>
      </c>
    </row>
    <row r="76" spans="2:22" x14ac:dyDescent="0.2">
      <c r="B76" s="7" t="s">
        <v>55</v>
      </c>
      <c r="C76" s="1" t="s">
        <v>21</v>
      </c>
      <c r="D76" s="3">
        <v>0.41041666666666665</v>
      </c>
      <c r="E76" t="s">
        <v>36</v>
      </c>
      <c r="F76" s="1"/>
      <c r="G76" s="1"/>
      <c r="H76" s="6"/>
      <c r="U76" s="2">
        <f>中央線快速_八王子・大月方面_平日[[#This Row],[発車時刻(Time)]]-$D75</f>
        <v>1.388888888888884E-3</v>
      </c>
      <c r="V76" s="4">
        <f t="shared" si="1"/>
        <v>1.6744548286604422</v>
      </c>
    </row>
    <row r="77" spans="2:22" x14ac:dyDescent="0.2">
      <c r="B77" s="7" t="s">
        <v>55</v>
      </c>
      <c r="C77" s="1" t="s">
        <v>21</v>
      </c>
      <c r="D77" s="3">
        <v>0.41250000000000003</v>
      </c>
      <c r="E77" t="s">
        <v>35</v>
      </c>
      <c r="F77" s="1"/>
      <c r="G77" s="1"/>
      <c r="H77" s="6"/>
      <c r="U77" s="2">
        <f>中央線快速_八王子・大月方面_平日[[#This Row],[発車時刻(Time)]]-$D76</f>
        <v>2.0833333333333814E-3</v>
      </c>
      <c r="V77" s="4">
        <f t="shared" si="1"/>
        <v>1.1163032191069318</v>
      </c>
    </row>
    <row r="78" spans="2:22" x14ac:dyDescent="0.2">
      <c r="B78" s="9" t="s">
        <v>37</v>
      </c>
      <c r="C78" s="1" t="s">
        <v>24</v>
      </c>
      <c r="D78" s="3">
        <v>0.41666666666666669</v>
      </c>
      <c r="E78" t="s">
        <v>38</v>
      </c>
      <c r="F78" s="1"/>
      <c r="G78" s="1" t="s">
        <v>39</v>
      </c>
      <c r="H78" s="6"/>
      <c r="U78" s="2">
        <f>中央線快速_八王子・大月方面_平日[[#This Row],[発車時刻(Time)]]-$D77</f>
        <v>4.1666666666666519E-3</v>
      </c>
      <c r="V78" s="4">
        <f t="shared" si="1"/>
        <v>0.55815160955348075</v>
      </c>
    </row>
    <row r="79" spans="2:22" x14ac:dyDescent="0.2">
      <c r="B79" s="7" t="s">
        <v>55</v>
      </c>
      <c r="C79" s="1" t="s">
        <v>21</v>
      </c>
      <c r="D79" s="3">
        <v>0.41736111111111113</v>
      </c>
      <c r="E79" t="s">
        <v>40</v>
      </c>
      <c r="F79" s="1"/>
      <c r="G79" s="1"/>
      <c r="H79" s="6"/>
      <c r="U79" s="2">
        <f>中央線快速_八王子・大月方面_平日[[#This Row],[発車時刻(Time)]]-$D78</f>
        <v>6.9444444444444198E-4</v>
      </c>
      <c r="V79" s="4">
        <f t="shared" si="1"/>
        <v>3.3489096573208843</v>
      </c>
    </row>
    <row r="80" spans="2:22" x14ac:dyDescent="0.2">
      <c r="B80" s="7" t="s">
        <v>55</v>
      </c>
      <c r="C80" s="1" t="s">
        <v>21</v>
      </c>
      <c r="D80" s="3">
        <v>0.4201388888888889</v>
      </c>
      <c r="E80" t="s">
        <v>35</v>
      </c>
      <c r="F80" s="1"/>
      <c r="G80" s="1"/>
      <c r="H80" s="6"/>
      <c r="U80" s="2">
        <f>中央線快速_八王子・大月方面_平日[[#This Row],[発車時刻(Time)]]-$D79</f>
        <v>2.7777777777777679E-3</v>
      </c>
      <c r="V80" s="4">
        <f t="shared" si="1"/>
        <v>0.83722741433022108</v>
      </c>
    </row>
    <row r="81" spans="2:22" x14ac:dyDescent="0.2">
      <c r="B81" s="7" t="s">
        <v>55</v>
      </c>
      <c r="C81" s="1" t="s">
        <v>21</v>
      </c>
      <c r="D81" s="3">
        <v>0.42152777777777778</v>
      </c>
      <c r="E81" t="s">
        <v>36</v>
      </c>
      <c r="F81" s="1"/>
      <c r="G81" s="1"/>
      <c r="H81" s="6"/>
      <c r="U81" s="2">
        <f>中央線快速_八王子・大月方面_平日[[#This Row],[発車時刻(Time)]]-$D80</f>
        <v>1.388888888888884E-3</v>
      </c>
      <c r="V81" s="4">
        <f t="shared" si="1"/>
        <v>1.6744548286604422</v>
      </c>
    </row>
    <row r="82" spans="2:22" x14ac:dyDescent="0.2">
      <c r="B82" s="7" t="s">
        <v>55</v>
      </c>
      <c r="C82" s="1" t="s">
        <v>21</v>
      </c>
      <c r="D82" s="3">
        <v>0.4236111111111111</v>
      </c>
      <c r="E82" t="s">
        <v>40</v>
      </c>
      <c r="F82" s="1"/>
      <c r="G82" s="1"/>
      <c r="H82" s="6"/>
      <c r="U82" s="2">
        <f>中央線快速_八王子・大月方面_平日[[#This Row],[発車時刻(Time)]]-$D81</f>
        <v>2.0833333333333259E-3</v>
      </c>
      <c r="V82" s="4">
        <f t="shared" si="1"/>
        <v>1.1163032191069615</v>
      </c>
    </row>
    <row r="83" spans="2:22" x14ac:dyDescent="0.2">
      <c r="B83" s="7" t="s">
        <v>55</v>
      </c>
      <c r="C83" s="1" t="s">
        <v>21</v>
      </c>
      <c r="D83" s="3">
        <v>0.42499999999999999</v>
      </c>
      <c r="E83" t="s">
        <v>44</v>
      </c>
      <c r="F83" s="1"/>
      <c r="G83" s="1"/>
      <c r="H83" s="6"/>
      <c r="U83" s="2">
        <f>中央線快速_八王子・大月方面_平日[[#This Row],[発車時刻(Time)]]-$D82</f>
        <v>1.388888888888884E-3</v>
      </c>
      <c r="V83" s="4">
        <f t="shared" si="1"/>
        <v>1.6744548286604422</v>
      </c>
    </row>
    <row r="84" spans="2:22" x14ac:dyDescent="0.2">
      <c r="B84" s="7" t="s">
        <v>55</v>
      </c>
      <c r="C84" s="1" t="s">
        <v>21</v>
      </c>
      <c r="D84" s="3">
        <v>0.42777777777777781</v>
      </c>
      <c r="E84" t="s">
        <v>35</v>
      </c>
      <c r="F84" s="1"/>
      <c r="G84" s="1"/>
      <c r="H84" s="6"/>
      <c r="U84" s="2">
        <f>中央線快速_八王子・大月方面_平日[[#This Row],[発車時刻(Time)]]-$D83</f>
        <v>2.7777777777778234E-3</v>
      </c>
      <c r="V84" s="4">
        <f t="shared" si="1"/>
        <v>0.83722741433020431</v>
      </c>
    </row>
    <row r="85" spans="2:22" x14ac:dyDescent="0.2">
      <c r="B85" s="7" t="s">
        <v>55</v>
      </c>
      <c r="C85" s="1" t="s">
        <v>22</v>
      </c>
      <c r="D85" s="3">
        <v>0.43263888888888885</v>
      </c>
      <c r="E85" t="s">
        <v>35</v>
      </c>
      <c r="F85" s="1"/>
      <c r="G85" s="1"/>
      <c r="H85" s="6"/>
      <c r="U85" s="2">
        <f>中央線快速_八王子・大月方面_平日[[#This Row],[発車時刻(Time)]]-$D84</f>
        <v>4.8611111111110383E-3</v>
      </c>
      <c r="V85" s="4">
        <f t="shared" si="1"/>
        <v>0.47841566533156038</v>
      </c>
    </row>
    <row r="86" spans="2:22" x14ac:dyDescent="0.2">
      <c r="B86" s="7" t="s">
        <v>55</v>
      </c>
      <c r="C86" s="1" t="s">
        <v>21</v>
      </c>
      <c r="D86" s="3">
        <v>0.43402777777777773</v>
      </c>
      <c r="E86" t="s">
        <v>44</v>
      </c>
      <c r="F86" s="1"/>
      <c r="G86" s="1"/>
      <c r="H86" s="6"/>
      <c r="U86" s="2">
        <f>中央線快速_八王子・大月方面_平日[[#This Row],[発車時刻(Time)]]-$D85</f>
        <v>1.388888888888884E-3</v>
      </c>
      <c r="V86" s="4">
        <f t="shared" si="1"/>
        <v>1.6744548286604422</v>
      </c>
    </row>
    <row r="87" spans="2:22" x14ac:dyDescent="0.2">
      <c r="B87" s="7" t="s">
        <v>55</v>
      </c>
      <c r="C87" s="1" t="s">
        <v>21</v>
      </c>
      <c r="D87" s="3">
        <v>0.4381944444444445</v>
      </c>
      <c r="E87" t="s">
        <v>43</v>
      </c>
      <c r="F87" s="1"/>
      <c r="G87" s="1"/>
      <c r="H87" s="6"/>
      <c r="U87" s="2">
        <f>中央線快速_八王子・大月方面_平日[[#This Row],[発車時刻(Time)]]-$D86</f>
        <v>4.1666666666667629E-3</v>
      </c>
      <c r="V87" s="4">
        <f t="shared" si="1"/>
        <v>0.55815160955346588</v>
      </c>
    </row>
    <row r="88" spans="2:22" x14ac:dyDescent="0.2">
      <c r="B88" s="7" t="s">
        <v>55</v>
      </c>
      <c r="C88" s="1" t="s">
        <v>25</v>
      </c>
      <c r="D88" s="3">
        <v>0.44236111111111115</v>
      </c>
      <c r="E88" t="s">
        <v>36</v>
      </c>
      <c r="F88" s="1"/>
      <c r="G88" s="1"/>
      <c r="H88" s="6"/>
      <c r="U88" s="2">
        <f>中央線快速_八王子・大月方面_平日[[#This Row],[発車時刻(Time)]]-$D87</f>
        <v>4.1666666666666519E-3</v>
      </c>
      <c r="V88" s="4">
        <f t="shared" si="1"/>
        <v>0.55815160955348075</v>
      </c>
    </row>
    <row r="89" spans="2:22" x14ac:dyDescent="0.2">
      <c r="B89" s="7" t="s">
        <v>55</v>
      </c>
      <c r="C89" s="1" t="s">
        <v>21</v>
      </c>
      <c r="D89" s="3">
        <v>0.44375000000000003</v>
      </c>
      <c r="E89" t="s">
        <v>36</v>
      </c>
      <c r="F89" s="1"/>
      <c r="G89" s="1"/>
      <c r="H89" s="6"/>
      <c r="U89" s="2">
        <f>中央線快速_八王子・大月方面_平日[[#This Row],[発車時刻(Time)]]-$D88</f>
        <v>1.388888888888884E-3</v>
      </c>
      <c r="V89" s="4">
        <f t="shared" si="1"/>
        <v>1.6744548286604422</v>
      </c>
    </row>
    <row r="90" spans="2:22" x14ac:dyDescent="0.2">
      <c r="B90" s="7" t="s">
        <v>55</v>
      </c>
      <c r="C90" s="1" t="s">
        <v>22</v>
      </c>
      <c r="D90" s="3">
        <v>0.44791666666666669</v>
      </c>
      <c r="E90" t="s">
        <v>35</v>
      </c>
      <c r="F90" s="1"/>
      <c r="G90" s="1"/>
      <c r="H90" s="6"/>
      <c r="U90" s="2">
        <f>中央線快速_八王子・大月方面_平日[[#This Row],[発車時刻(Time)]]-$D89</f>
        <v>4.1666666666666519E-3</v>
      </c>
      <c r="V90" s="4">
        <f t="shared" si="1"/>
        <v>0.55815160955348075</v>
      </c>
    </row>
    <row r="91" spans="2:22" x14ac:dyDescent="0.2">
      <c r="B91" s="7" t="s">
        <v>55</v>
      </c>
      <c r="C91" s="1" t="s">
        <v>21</v>
      </c>
      <c r="D91" s="3">
        <v>0.44930555555555557</v>
      </c>
      <c r="E91" t="s">
        <v>35</v>
      </c>
      <c r="F91" s="1"/>
      <c r="G91" s="1"/>
      <c r="H91" s="6"/>
      <c r="U91" s="2">
        <f>中央線快速_八王子・大月方面_平日[[#This Row],[発車時刻(Time)]]-$D90</f>
        <v>1.388888888888884E-3</v>
      </c>
      <c r="V91" s="4">
        <f t="shared" si="1"/>
        <v>1.6744548286604422</v>
      </c>
    </row>
    <row r="92" spans="2:22" x14ac:dyDescent="0.2">
      <c r="B92" s="7" t="s">
        <v>55</v>
      </c>
      <c r="C92" s="1" t="s">
        <v>21</v>
      </c>
      <c r="D92" s="3">
        <v>0.45069444444444445</v>
      </c>
      <c r="E92" t="s">
        <v>44</v>
      </c>
      <c r="F92" s="1"/>
      <c r="G92" s="1"/>
      <c r="H92" s="6"/>
      <c r="U92" s="2">
        <f>中央線快速_八王子・大月方面_平日[[#This Row],[発車時刻(Time)]]-$D91</f>
        <v>1.388888888888884E-3</v>
      </c>
      <c r="V92" s="4">
        <f t="shared" si="1"/>
        <v>1.6744548286604422</v>
      </c>
    </row>
    <row r="93" spans="2:22" x14ac:dyDescent="0.2">
      <c r="B93" s="7" t="s">
        <v>55</v>
      </c>
      <c r="C93" s="1" t="s">
        <v>21</v>
      </c>
      <c r="D93" s="3">
        <v>0.45347222222222222</v>
      </c>
      <c r="E93" t="s">
        <v>35</v>
      </c>
      <c r="F93" s="1"/>
      <c r="G93" s="1"/>
      <c r="H93" s="6"/>
      <c r="U93" s="2">
        <f>中央線快速_八王子・大月方面_平日[[#This Row],[発車時刻(Time)]]-$D92</f>
        <v>2.7777777777777679E-3</v>
      </c>
      <c r="V93" s="4">
        <f t="shared" si="1"/>
        <v>0.83722741433022108</v>
      </c>
    </row>
    <row r="94" spans="2:22" x14ac:dyDescent="0.2">
      <c r="B94" s="9" t="s">
        <v>37</v>
      </c>
      <c r="C94" s="1" t="s">
        <v>24</v>
      </c>
      <c r="D94" s="3">
        <v>0.45833333333333331</v>
      </c>
      <c r="E94" t="s">
        <v>38</v>
      </c>
      <c r="F94" s="1"/>
      <c r="G94" s="1" t="s">
        <v>39</v>
      </c>
      <c r="H94" s="6"/>
      <c r="U94" s="2">
        <f>中央線快速_八王子・大月方面_平日[[#This Row],[発車時刻(Time)]]-$D93</f>
        <v>4.8611111111110938E-3</v>
      </c>
      <c r="V94" s="4">
        <f t="shared" si="1"/>
        <v>0.47841566533155488</v>
      </c>
    </row>
    <row r="95" spans="2:22" x14ac:dyDescent="0.2">
      <c r="B95" s="7" t="s">
        <v>55</v>
      </c>
      <c r="C95" s="1" t="s">
        <v>21</v>
      </c>
      <c r="D95" s="3">
        <v>0.4597222222222222</v>
      </c>
      <c r="E95" t="s">
        <v>36</v>
      </c>
      <c r="F95" s="1"/>
      <c r="G95" s="1"/>
      <c r="H95" s="6"/>
      <c r="U95" s="2">
        <f>中央線快速_八王子・大月方面_平日[[#This Row],[発車時刻(Time)]]-$D94</f>
        <v>1.388888888888884E-3</v>
      </c>
      <c r="V95" s="4">
        <f t="shared" si="1"/>
        <v>1.6744548286604422</v>
      </c>
    </row>
    <row r="96" spans="2:22" x14ac:dyDescent="0.2">
      <c r="B96" s="7" t="s">
        <v>55</v>
      </c>
      <c r="C96" s="1" t="s">
        <v>22</v>
      </c>
      <c r="D96" s="3">
        <v>0.46319444444444446</v>
      </c>
      <c r="E96" t="s">
        <v>35</v>
      </c>
      <c r="F96" s="1"/>
      <c r="G96" s="1"/>
      <c r="H96" s="6"/>
      <c r="U96" s="2">
        <f>中央線快速_八王子・大月方面_平日[[#This Row],[発車時刻(Time)]]-$D95</f>
        <v>3.4722222222222654E-3</v>
      </c>
      <c r="V96" s="4">
        <f t="shared" si="1"/>
        <v>0.6697819314641662</v>
      </c>
    </row>
    <row r="97" spans="2:22" x14ac:dyDescent="0.2">
      <c r="B97" s="7" t="s">
        <v>55</v>
      </c>
      <c r="C97" s="1" t="s">
        <v>21</v>
      </c>
      <c r="D97" s="3">
        <v>0.46458333333333335</v>
      </c>
      <c r="E97" t="s">
        <v>44</v>
      </c>
      <c r="F97" s="1"/>
      <c r="G97" s="1"/>
      <c r="H97" s="6"/>
      <c r="U97" s="2">
        <f>中央線快速_八王子・大月方面_平日[[#This Row],[発車時刻(Time)]]-$D96</f>
        <v>1.388888888888884E-3</v>
      </c>
      <c r="V97" s="4">
        <f t="shared" si="1"/>
        <v>1.6744548286604422</v>
      </c>
    </row>
    <row r="98" spans="2:22" x14ac:dyDescent="0.2">
      <c r="B98" s="7" t="s">
        <v>55</v>
      </c>
      <c r="C98" s="1" t="s">
        <v>21</v>
      </c>
      <c r="D98" s="3">
        <v>0.46666666666666662</v>
      </c>
      <c r="E98" t="s">
        <v>40</v>
      </c>
      <c r="F98" s="1"/>
      <c r="G98" s="1"/>
      <c r="H98" s="6"/>
      <c r="U98" s="2">
        <f>中央線快速_八王子・大月方面_平日[[#This Row],[発車時刻(Time)]]-$D97</f>
        <v>2.0833333333332704E-3</v>
      </c>
      <c r="V98" s="4">
        <f t="shared" si="1"/>
        <v>1.1163032191069913</v>
      </c>
    </row>
    <row r="99" spans="2:22" x14ac:dyDescent="0.2">
      <c r="B99" s="7" t="s">
        <v>55</v>
      </c>
      <c r="C99" s="1" t="s">
        <v>21</v>
      </c>
      <c r="D99" s="3">
        <v>0.4694444444444445</v>
      </c>
      <c r="E99" t="s">
        <v>40</v>
      </c>
      <c r="F99" s="1"/>
      <c r="G99" s="1"/>
      <c r="H99" s="6"/>
      <c r="U99" s="2">
        <f>中央線快速_八王子・大月方面_平日[[#This Row],[発車時刻(Time)]]-$D98</f>
        <v>2.7777777777778789E-3</v>
      </c>
      <c r="V99" s="4">
        <f t="shared" si="1"/>
        <v>0.83722741433018766</v>
      </c>
    </row>
    <row r="100" spans="2:22" x14ac:dyDescent="0.2">
      <c r="B100" s="7" t="s">
        <v>55</v>
      </c>
      <c r="C100" s="1" t="s">
        <v>22</v>
      </c>
      <c r="D100" s="3">
        <v>0.47291666666666665</v>
      </c>
      <c r="E100" t="s">
        <v>35</v>
      </c>
      <c r="F100" s="1"/>
      <c r="G100" s="1"/>
      <c r="H100" s="6"/>
      <c r="U100" s="2">
        <f>中央線快速_八王子・大月方面_平日[[#This Row],[発車時刻(Time)]]-$D99</f>
        <v>3.4722222222221544E-3</v>
      </c>
      <c r="V100" s="4">
        <f t="shared" si="1"/>
        <v>0.66978193146418752</v>
      </c>
    </row>
    <row r="101" spans="2:22" x14ac:dyDescent="0.2">
      <c r="B101" s="7" t="s">
        <v>55</v>
      </c>
      <c r="C101" s="1" t="s">
        <v>21</v>
      </c>
      <c r="D101" s="3">
        <v>0.47500000000000003</v>
      </c>
      <c r="E101" t="s">
        <v>36</v>
      </c>
      <c r="F101" s="1"/>
      <c r="G101" s="1"/>
      <c r="H101" s="6"/>
      <c r="U101" s="2">
        <f>中央線快速_八王子・大月方面_平日[[#This Row],[発車時刻(Time)]]-$D100</f>
        <v>2.0833333333333814E-3</v>
      </c>
      <c r="V101" s="4">
        <f t="shared" si="1"/>
        <v>1.1163032191069318</v>
      </c>
    </row>
    <row r="102" spans="2:22" x14ac:dyDescent="0.2">
      <c r="B102" s="9" t="s">
        <v>37</v>
      </c>
      <c r="C102" s="1" t="s">
        <v>24</v>
      </c>
      <c r="D102" s="3">
        <v>0.47916666666666669</v>
      </c>
      <c r="E102" t="s">
        <v>46</v>
      </c>
      <c r="F102" s="1"/>
      <c r="G102" s="1" t="s">
        <v>39</v>
      </c>
      <c r="H102" s="6"/>
      <c r="U102" s="2">
        <f>中央線快速_八王子・大月方面_平日[[#This Row],[発車時刻(Time)]]-$D101</f>
        <v>4.1666666666666519E-3</v>
      </c>
      <c r="V102" s="4">
        <f t="shared" si="1"/>
        <v>0.55815160955348075</v>
      </c>
    </row>
    <row r="103" spans="2:22" x14ac:dyDescent="0.2">
      <c r="B103" s="7" t="s">
        <v>55</v>
      </c>
      <c r="C103" s="1" t="s">
        <v>21</v>
      </c>
      <c r="D103" s="3">
        <v>0.47986111111111113</v>
      </c>
      <c r="E103" t="s">
        <v>43</v>
      </c>
      <c r="F103" s="1"/>
      <c r="G103" s="1"/>
      <c r="H103" s="6"/>
      <c r="U103" s="2">
        <f>中央線快速_八王子・大月方面_平日[[#This Row],[発車時刻(Time)]]-$D102</f>
        <v>6.9444444444444198E-4</v>
      </c>
      <c r="V103" s="4">
        <f t="shared" si="1"/>
        <v>3.3489096573208843</v>
      </c>
    </row>
    <row r="104" spans="2:22" x14ac:dyDescent="0.2">
      <c r="B104" s="7" t="s">
        <v>55</v>
      </c>
      <c r="C104" s="1" t="s">
        <v>22</v>
      </c>
      <c r="D104" s="3">
        <v>0.48402777777777778</v>
      </c>
      <c r="E104" t="s">
        <v>35</v>
      </c>
      <c r="F104" s="1"/>
      <c r="G104" s="1"/>
      <c r="H104" s="6"/>
      <c r="U104" s="2">
        <f>中央線快速_八王子・大月方面_平日[[#This Row],[発車時刻(Time)]]-$D103</f>
        <v>4.1666666666666519E-3</v>
      </c>
      <c r="V104" s="4">
        <f t="shared" si="1"/>
        <v>0.55815160955348075</v>
      </c>
    </row>
    <row r="105" spans="2:22" x14ac:dyDescent="0.2">
      <c r="B105" s="7" t="s">
        <v>55</v>
      </c>
      <c r="C105" s="1" t="s">
        <v>21</v>
      </c>
      <c r="D105" s="3">
        <v>0.48541666666666666</v>
      </c>
      <c r="E105" t="s">
        <v>35</v>
      </c>
      <c r="F105" s="1"/>
      <c r="G105" s="1"/>
      <c r="H105" s="6"/>
      <c r="U105" s="2">
        <f>中央線快速_八王子・大月方面_平日[[#This Row],[発車時刻(Time)]]-$D104</f>
        <v>1.388888888888884E-3</v>
      </c>
      <c r="V105" s="4">
        <f t="shared" si="1"/>
        <v>1.6744548286604422</v>
      </c>
    </row>
    <row r="106" spans="2:22" x14ac:dyDescent="0.2">
      <c r="B106" s="7" t="s">
        <v>55</v>
      </c>
      <c r="C106" s="1" t="s">
        <v>22</v>
      </c>
      <c r="D106" s="3">
        <v>0.48888888888888887</v>
      </c>
      <c r="E106" t="s">
        <v>35</v>
      </c>
      <c r="F106" s="1"/>
      <c r="G106" s="1"/>
      <c r="H106" s="6"/>
      <c r="U106" s="2">
        <f>中央線快速_八王子・大月方面_平日[[#This Row],[発車時刻(Time)]]-$D105</f>
        <v>3.4722222222222099E-3</v>
      </c>
      <c r="V106" s="4">
        <f t="shared" si="1"/>
        <v>0.66978193146417686</v>
      </c>
    </row>
    <row r="107" spans="2:22" x14ac:dyDescent="0.2">
      <c r="B107" s="7" t="s">
        <v>55</v>
      </c>
      <c r="C107" s="1" t="s">
        <v>21</v>
      </c>
      <c r="D107" s="3">
        <v>0.49027777777777781</v>
      </c>
      <c r="E107" t="s">
        <v>43</v>
      </c>
      <c r="F107" s="1"/>
      <c r="G107" s="1"/>
      <c r="H107" s="6"/>
      <c r="U107" s="2">
        <f>中央線快速_八王子・大月方面_平日[[#This Row],[発車時刻(Time)]]-$D106</f>
        <v>1.3888888888889395E-3</v>
      </c>
      <c r="V107" s="4">
        <f t="shared" si="1"/>
        <v>1.6744548286603753</v>
      </c>
    </row>
    <row r="108" spans="2:22" x14ac:dyDescent="0.2">
      <c r="B108" s="7" t="s">
        <v>55</v>
      </c>
      <c r="C108" s="1" t="s">
        <v>25</v>
      </c>
      <c r="D108" s="3">
        <v>0.49444444444444446</v>
      </c>
      <c r="E108" t="s">
        <v>36</v>
      </c>
      <c r="F108" s="1"/>
      <c r="G108" s="1"/>
      <c r="H108" s="6"/>
      <c r="U108" s="2">
        <f>中央線快速_八王子・大月方面_平日[[#This Row],[発車時刻(Time)]]-$D107</f>
        <v>4.1666666666666519E-3</v>
      </c>
      <c r="V108" s="4">
        <f t="shared" si="1"/>
        <v>0.55815160955348075</v>
      </c>
    </row>
    <row r="109" spans="2:22" x14ac:dyDescent="0.2">
      <c r="B109" s="7" t="s">
        <v>55</v>
      </c>
      <c r="C109" s="1" t="s">
        <v>21</v>
      </c>
      <c r="D109" s="3">
        <v>0.49583333333333335</v>
      </c>
      <c r="E109" t="s">
        <v>44</v>
      </c>
      <c r="F109" s="1"/>
      <c r="G109" s="1"/>
      <c r="H109" s="6"/>
      <c r="U109" s="2">
        <f>中央線快速_八王子・大月方面_平日[[#This Row],[発車時刻(Time)]]-$D108</f>
        <v>1.388888888888884E-3</v>
      </c>
      <c r="V109" s="4">
        <f t="shared" si="1"/>
        <v>1.6744548286604422</v>
      </c>
    </row>
    <row r="110" spans="2:22" x14ac:dyDescent="0.2">
      <c r="B110" s="9" t="s">
        <v>37</v>
      </c>
      <c r="C110" s="1" t="s">
        <v>24</v>
      </c>
      <c r="D110" s="3">
        <v>0.5</v>
      </c>
      <c r="E110" t="s">
        <v>38</v>
      </c>
      <c r="F110" s="1"/>
      <c r="G110" s="1" t="s">
        <v>39</v>
      </c>
      <c r="H110" s="6"/>
      <c r="U110" s="2">
        <f>中央線快速_八王子・大月方面_平日[[#This Row],[発車時刻(Time)]]-$D109</f>
        <v>4.1666666666666519E-3</v>
      </c>
      <c r="V110" s="4">
        <f t="shared" si="1"/>
        <v>0.55815160955348075</v>
      </c>
    </row>
    <row r="111" spans="2:22" x14ac:dyDescent="0.2">
      <c r="B111" s="7" t="s">
        <v>55</v>
      </c>
      <c r="C111" s="1" t="s">
        <v>21</v>
      </c>
      <c r="D111" s="3">
        <v>0.50069444444444444</v>
      </c>
      <c r="E111" t="s">
        <v>36</v>
      </c>
      <c r="F111" s="1"/>
      <c r="G111" s="1"/>
      <c r="H111" s="6"/>
      <c r="U111" s="2">
        <f>中央線快速_八王子・大月方面_平日[[#This Row],[発車時刻(Time)]]-$D110</f>
        <v>6.9444444444444198E-4</v>
      </c>
      <c r="V111" s="4">
        <f t="shared" si="1"/>
        <v>3.3489096573208843</v>
      </c>
    </row>
    <row r="112" spans="2:22" x14ac:dyDescent="0.2">
      <c r="B112" s="7" t="s">
        <v>55</v>
      </c>
      <c r="C112" s="1" t="s">
        <v>21</v>
      </c>
      <c r="D112" s="3">
        <v>0.50208333333333333</v>
      </c>
      <c r="E112" t="s">
        <v>43</v>
      </c>
      <c r="F112" s="1"/>
      <c r="G112" s="1"/>
      <c r="H112" s="6"/>
      <c r="U112" s="2">
        <f>中央線快速_八王子・大月方面_平日[[#This Row],[発車時刻(Time)]]-$D111</f>
        <v>1.388888888888884E-3</v>
      </c>
      <c r="V112" s="4">
        <f t="shared" si="1"/>
        <v>1.6744548286604422</v>
      </c>
    </row>
    <row r="113" spans="2:22" x14ac:dyDescent="0.2">
      <c r="B113" s="7" t="s">
        <v>55</v>
      </c>
      <c r="C113" s="1" t="s">
        <v>22</v>
      </c>
      <c r="D113" s="3">
        <v>0.50694444444444442</v>
      </c>
      <c r="E113" t="s">
        <v>35</v>
      </c>
      <c r="F113" s="1"/>
      <c r="G113" s="1"/>
      <c r="H113" s="6"/>
      <c r="U113" s="2">
        <f>中央線快速_八王子・大月方面_平日[[#This Row],[発車時刻(Time)]]-$D112</f>
        <v>4.8611111111110938E-3</v>
      </c>
      <c r="V113" s="4">
        <f t="shared" si="1"/>
        <v>0.47841566533155488</v>
      </c>
    </row>
    <row r="114" spans="2:22" x14ac:dyDescent="0.2">
      <c r="B114" s="7" t="s">
        <v>55</v>
      </c>
      <c r="C114" s="1" t="s">
        <v>21</v>
      </c>
      <c r="D114" s="3">
        <v>0.5083333333333333</v>
      </c>
      <c r="E114" t="s">
        <v>44</v>
      </c>
      <c r="F114" s="1"/>
      <c r="G114" s="1"/>
      <c r="H114" s="6"/>
      <c r="U114" s="2">
        <f>中央線快速_八王子・大月方面_平日[[#This Row],[発車時刻(Time)]]-$D113</f>
        <v>1.388888888888884E-3</v>
      </c>
      <c r="V114" s="4">
        <f t="shared" si="1"/>
        <v>1.6744548286604422</v>
      </c>
    </row>
    <row r="115" spans="2:22" x14ac:dyDescent="0.2">
      <c r="B115" s="7" t="s">
        <v>55</v>
      </c>
      <c r="C115" s="1" t="s">
        <v>21</v>
      </c>
      <c r="D115" s="3">
        <v>0.51180555555555551</v>
      </c>
      <c r="E115" t="s">
        <v>40</v>
      </c>
      <c r="F115" s="1"/>
      <c r="G115" s="1"/>
      <c r="H115" s="6"/>
      <c r="U115" s="2">
        <f>中央線快速_八王子・大月方面_平日[[#This Row],[発車時刻(Time)]]-$D114</f>
        <v>3.4722222222222099E-3</v>
      </c>
      <c r="V115" s="4">
        <f t="shared" si="1"/>
        <v>0.66978193146417686</v>
      </c>
    </row>
    <row r="116" spans="2:22" x14ac:dyDescent="0.2">
      <c r="B116" s="7" t="s">
        <v>55</v>
      </c>
      <c r="C116" s="1" t="s">
        <v>22</v>
      </c>
      <c r="D116" s="3">
        <v>0.51527777777777783</v>
      </c>
      <c r="E116" t="s">
        <v>35</v>
      </c>
      <c r="F116" s="1"/>
      <c r="G116" s="1"/>
      <c r="H116" s="6"/>
      <c r="U116" s="2">
        <f>中央線快速_八王子・大月方面_平日[[#This Row],[発車時刻(Time)]]-$D115</f>
        <v>3.4722222222223209E-3</v>
      </c>
      <c r="V116" s="4">
        <f t="shared" si="1"/>
        <v>0.66978193146415543</v>
      </c>
    </row>
    <row r="117" spans="2:22" x14ac:dyDescent="0.2">
      <c r="B117" s="7" t="s">
        <v>55</v>
      </c>
      <c r="C117" s="1" t="s">
        <v>21</v>
      </c>
      <c r="D117" s="3">
        <v>0.51666666666666672</v>
      </c>
      <c r="E117" t="s">
        <v>36</v>
      </c>
      <c r="F117" s="1"/>
      <c r="G117" s="1"/>
      <c r="H117" s="6"/>
      <c r="U117" s="2">
        <f>中央線快速_八王子・大月方面_平日[[#This Row],[発車時刻(Time)]]-$D116</f>
        <v>1.388888888888884E-3</v>
      </c>
      <c r="V117" s="4">
        <f t="shared" si="1"/>
        <v>1.6744548286604422</v>
      </c>
    </row>
    <row r="118" spans="2:22" x14ac:dyDescent="0.2">
      <c r="B118" s="9" t="s">
        <v>37</v>
      </c>
      <c r="C118" s="1" t="s">
        <v>24</v>
      </c>
      <c r="D118" s="3">
        <v>0.52083333333333337</v>
      </c>
      <c r="E118" t="s">
        <v>46</v>
      </c>
      <c r="F118" s="1"/>
      <c r="G118" s="1" t="s">
        <v>39</v>
      </c>
      <c r="H118" s="6"/>
      <c r="U118" s="2">
        <f>中央線快速_八王子・大月方面_平日[[#This Row],[発車時刻(Time)]]-$D117</f>
        <v>4.1666666666666519E-3</v>
      </c>
      <c r="V118" s="4">
        <f t="shared" si="1"/>
        <v>0.55815160955348075</v>
      </c>
    </row>
    <row r="119" spans="2:22" x14ac:dyDescent="0.2">
      <c r="B119" s="7" t="s">
        <v>55</v>
      </c>
      <c r="C119" s="1" t="s">
        <v>21</v>
      </c>
      <c r="D119" s="3">
        <v>0.52152777777777781</v>
      </c>
      <c r="E119" t="s">
        <v>43</v>
      </c>
      <c r="F119" s="1"/>
      <c r="G119" s="1"/>
      <c r="H119" s="6"/>
      <c r="U119" s="2">
        <f>中央線快速_八王子・大月方面_平日[[#This Row],[発車時刻(Time)]]-$D118</f>
        <v>6.9444444444444198E-4</v>
      </c>
      <c r="V119" s="4">
        <f t="shared" si="1"/>
        <v>3.3489096573208843</v>
      </c>
    </row>
    <row r="120" spans="2:22" x14ac:dyDescent="0.2">
      <c r="B120" s="7" t="s">
        <v>55</v>
      </c>
      <c r="C120" s="1" t="s">
        <v>22</v>
      </c>
      <c r="D120" s="3">
        <v>0.52569444444444446</v>
      </c>
      <c r="E120" t="s">
        <v>35</v>
      </c>
      <c r="F120" s="1"/>
      <c r="G120" s="1"/>
      <c r="H120" s="6"/>
      <c r="U120" s="2">
        <f>中央線快速_八王子・大月方面_平日[[#This Row],[発車時刻(Time)]]-$D119</f>
        <v>4.1666666666666519E-3</v>
      </c>
      <c r="V120" s="4">
        <f t="shared" si="1"/>
        <v>0.55815160955348075</v>
      </c>
    </row>
    <row r="121" spans="2:22" x14ac:dyDescent="0.2">
      <c r="B121" s="7" t="s">
        <v>55</v>
      </c>
      <c r="C121" s="1" t="s">
        <v>21</v>
      </c>
      <c r="D121" s="3">
        <v>0.52708333333333335</v>
      </c>
      <c r="E121" t="s">
        <v>35</v>
      </c>
      <c r="F121" s="1"/>
      <c r="G121" s="1"/>
      <c r="H121" s="6"/>
      <c r="U121" s="2">
        <f>中央線快速_八王子・大月方面_平日[[#This Row],[発車時刻(Time)]]-$D120</f>
        <v>1.388888888888884E-3</v>
      </c>
      <c r="V121" s="4">
        <f t="shared" si="1"/>
        <v>1.6744548286604422</v>
      </c>
    </row>
    <row r="122" spans="2:22" x14ac:dyDescent="0.2">
      <c r="B122" s="7" t="s">
        <v>55</v>
      </c>
      <c r="C122" s="1" t="s">
        <v>22</v>
      </c>
      <c r="D122" s="3">
        <v>0.53055555555555556</v>
      </c>
      <c r="E122" t="s">
        <v>35</v>
      </c>
      <c r="F122" s="1"/>
      <c r="G122" s="1"/>
      <c r="H122" s="6"/>
      <c r="U122" s="2">
        <f>中央線快速_八王子・大月方面_平日[[#This Row],[発車時刻(Time)]]-$D121</f>
        <v>3.4722222222222099E-3</v>
      </c>
      <c r="V122" s="4">
        <f t="shared" si="1"/>
        <v>0.66978193146417686</v>
      </c>
    </row>
    <row r="123" spans="2:22" x14ac:dyDescent="0.2">
      <c r="B123" s="7" t="s">
        <v>55</v>
      </c>
      <c r="C123" s="1" t="s">
        <v>21</v>
      </c>
      <c r="D123" s="3">
        <v>0.53194444444444444</v>
      </c>
      <c r="E123" t="s">
        <v>43</v>
      </c>
      <c r="F123" s="1"/>
      <c r="G123" s="1"/>
      <c r="H123" s="6"/>
      <c r="U123" s="2">
        <f>中央線快速_八王子・大月方面_平日[[#This Row],[発車時刻(Time)]]-$D122</f>
        <v>1.388888888888884E-3</v>
      </c>
      <c r="V123" s="4">
        <f t="shared" si="1"/>
        <v>1.6744548286604422</v>
      </c>
    </row>
    <row r="124" spans="2:22" x14ac:dyDescent="0.2">
      <c r="B124" s="7" t="s">
        <v>55</v>
      </c>
      <c r="C124" s="1" t="s">
        <v>21</v>
      </c>
      <c r="D124" s="3">
        <v>0.53611111111111109</v>
      </c>
      <c r="E124" t="s">
        <v>36</v>
      </c>
      <c r="F124" s="1"/>
      <c r="G124" s="1"/>
      <c r="H124" s="6"/>
      <c r="U124" s="2">
        <f>中央線快速_八王子・大月方面_平日[[#This Row],[発車時刻(Time)]]-$D123</f>
        <v>4.1666666666666519E-3</v>
      </c>
      <c r="V124" s="4">
        <f t="shared" si="1"/>
        <v>0.55815160955348075</v>
      </c>
    </row>
    <row r="125" spans="2:22" x14ac:dyDescent="0.2">
      <c r="B125" s="7" t="s">
        <v>55</v>
      </c>
      <c r="C125" s="1" t="s">
        <v>21</v>
      </c>
      <c r="D125" s="3">
        <v>0.53749999999999998</v>
      </c>
      <c r="E125" t="s">
        <v>35</v>
      </c>
      <c r="F125" s="1"/>
      <c r="G125" s="1"/>
      <c r="H125" s="6"/>
      <c r="U125" s="2">
        <f>中央線快速_八王子・大月方面_平日[[#This Row],[発車時刻(Time)]]-$D124</f>
        <v>1.388888888888884E-3</v>
      </c>
      <c r="V125" s="4">
        <f t="shared" si="1"/>
        <v>1.6744548286604422</v>
      </c>
    </row>
    <row r="126" spans="2:22" x14ac:dyDescent="0.2">
      <c r="B126" s="9" t="s">
        <v>37</v>
      </c>
      <c r="C126" s="1" t="s">
        <v>24</v>
      </c>
      <c r="D126" s="3">
        <v>0.54166666666666663</v>
      </c>
      <c r="E126" t="s">
        <v>38</v>
      </c>
      <c r="F126" s="1"/>
      <c r="G126" s="1" t="s">
        <v>39</v>
      </c>
      <c r="H126" s="6"/>
      <c r="U126" s="2">
        <f>中央線快速_八王子・大月方面_平日[[#This Row],[発車時刻(Time)]]-$D125</f>
        <v>4.1666666666666519E-3</v>
      </c>
      <c r="V126" s="4">
        <f t="shared" si="1"/>
        <v>0.55815160955348075</v>
      </c>
    </row>
    <row r="127" spans="2:22" x14ac:dyDescent="0.2">
      <c r="B127" s="7" t="s">
        <v>55</v>
      </c>
      <c r="C127" s="1" t="s">
        <v>21</v>
      </c>
      <c r="D127" s="3">
        <v>0.54305555555555551</v>
      </c>
      <c r="E127" t="s">
        <v>36</v>
      </c>
      <c r="F127" s="1"/>
      <c r="G127" s="1"/>
      <c r="H127" s="6"/>
      <c r="U127" s="2">
        <f>中央線快速_八王子・大月方面_平日[[#This Row],[発車時刻(Time)]]-$D126</f>
        <v>1.388888888888884E-3</v>
      </c>
      <c r="V127" s="4">
        <f t="shared" si="1"/>
        <v>1.6744548286604422</v>
      </c>
    </row>
    <row r="128" spans="2:22" x14ac:dyDescent="0.2">
      <c r="B128" s="7" t="s">
        <v>55</v>
      </c>
      <c r="C128" s="1" t="s">
        <v>22</v>
      </c>
      <c r="D128" s="3">
        <v>0.54652777777777783</v>
      </c>
      <c r="E128" t="s">
        <v>35</v>
      </c>
      <c r="F128" s="1"/>
      <c r="G128" s="1"/>
      <c r="H128" s="6"/>
      <c r="U128" s="2">
        <f>中央線快速_八王子・大月方面_平日[[#This Row],[発車時刻(Time)]]-$D127</f>
        <v>3.4722222222223209E-3</v>
      </c>
      <c r="V128" s="4">
        <f t="shared" si="1"/>
        <v>0.66978193146415543</v>
      </c>
    </row>
    <row r="129" spans="2:22" x14ac:dyDescent="0.2">
      <c r="B129" s="7" t="s">
        <v>55</v>
      </c>
      <c r="C129" s="1" t="s">
        <v>21</v>
      </c>
      <c r="D129" s="3">
        <v>0.54791666666666672</v>
      </c>
      <c r="E129" t="s">
        <v>43</v>
      </c>
      <c r="F129" s="1"/>
      <c r="G129" s="1"/>
      <c r="H129" s="6"/>
      <c r="U129" s="2">
        <f>中央線快速_八王子・大月方面_平日[[#This Row],[発車時刻(Time)]]-$D128</f>
        <v>1.388888888888884E-3</v>
      </c>
      <c r="V129" s="4">
        <f t="shared" si="1"/>
        <v>1.6744548286604422</v>
      </c>
    </row>
    <row r="130" spans="2:22" x14ac:dyDescent="0.2">
      <c r="B130" s="7" t="s">
        <v>55</v>
      </c>
      <c r="C130" s="1" t="s">
        <v>21</v>
      </c>
      <c r="D130" s="3">
        <v>0.54999999999999993</v>
      </c>
      <c r="E130" t="s">
        <v>40</v>
      </c>
      <c r="F130" s="1"/>
      <c r="G130" s="1"/>
      <c r="H130" s="6"/>
      <c r="U130" s="2">
        <f>中央線快速_八王子・大月方面_平日[[#This Row],[発車時刻(Time)]]-$D129</f>
        <v>2.0833333333332149E-3</v>
      </c>
      <c r="V130" s="4">
        <f t="shared" si="1"/>
        <v>1.1163032191070208</v>
      </c>
    </row>
    <row r="131" spans="2:22" x14ac:dyDescent="0.2">
      <c r="B131" s="7" t="s">
        <v>55</v>
      </c>
      <c r="C131" s="1" t="s">
        <v>21</v>
      </c>
      <c r="D131" s="3">
        <v>0.55277777777777781</v>
      </c>
      <c r="E131" t="s">
        <v>44</v>
      </c>
      <c r="F131" s="1"/>
      <c r="G131" s="1"/>
      <c r="H131" s="6"/>
      <c r="U131" s="2">
        <f>中央線快速_八王子・大月方面_平日[[#This Row],[発車時刻(Time)]]-$D130</f>
        <v>2.7777777777778789E-3</v>
      </c>
      <c r="V131" s="4">
        <f t="shared" si="1"/>
        <v>0.83722741433018766</v>
      </c>
    </row>
    <row r="132" spans="2:22" x14ac:dyDescent="0.2">
      <c r="B132" s="7" t="s">
        <v>55</v>
      </c>
      <c r="C132" s="1" t="s">
        <v>22</v>
      </c>
      <c r="D132" s="3">
        <v>0.55694444444444446</v>
      </c>
      <c r="E132" t="s">
        <v>35</v>
      </c>
      <c r="F132" s="1"/>
      <c r="G132" s="1"/>
      <c r="H132" s="6"/>
      <c r="U132" s="2">
        <f>中央線快速_八王子・大月方面_平日[[#This Row],[発車時刻(Time)]]-$D131</f>
        <v>4.1666666666666519E-3</v>
      </c>
      <c r="V132" s="4">
        <f t="shared" ref="V132:V195" si="2">IFERROR((1/(U132/$K$16)), 0)</f>
        <v>0.55815160955348075</v>
      </c>
    </row>
    <row r="133" spans="2:22" x14ac:dyDescent="0.2">
      <c r="B133" s="7" t="s">
        <v>55</v>
      </c>
      <c r="C133" s="1" t="s">
        <v>21</v>
      </c>
      <c r="D133" s="3">
        <v>0.55833333333333335</v>
      </c>
      <c r="E133" t="s">
        <v>36</v>
      </c>
      <c r="F133" s="1"/>
      <c r="G133" s="1"/>
      <c r="H133" s="6"/>
      <c r="U133" s="2">
        <f>中央線快速_八王子・大月方面_平日[[#This Row],[発車時刻(Time)]]-$D132</f>
        <v>1.388888888888884E-3</v>
      </c>
      <c r="V133" s="4">
        <f t="shared" si="2"/>
        <v>1.6744548286604422</v>
      </c>
    </row>
    <row r="134" spans="2:22" x14ac:dyDescent="0.2">
      <c r="B134" s="9" t="s">
        <v>37</v>
      </c>
      <c r="C134" s="1" t="s">
        <v>24</v>
      </c>
      <c r="D134" s="3">
        <v>0.5625</v>
      </c>
      <c r="E134" t="s">
        <v>46</v>
      </c>
      <c r="F134" s="1"/>
      <c r="G134" s="1" t="s">
        <v>39</v>
      </c>
      <c r="H134" s="6"/>
      <c r="U134" s="2">
        <f>中央線快速_八王子・大月方面_平日[[#This Row],[発車時刻(Time)]]-$D133</f>
        <v>4.1666666666666519E-3</v>
      </c>
      <c r="V134" s="4">
        <f t="shared" si="2"/>
        <v>0.55815160955348075</v>
      </c>
    </row>
    <row r="135" spans="2:22" x14ac:dyDescent="0.2">
      <c r="B135" s="7" t="s">
        <v>55</v>
      </c>
      <c r="C135" s="1" t="s">
        <v>21</v>
      </c>
      <c r="D135" s="3">
        <v>0.56319444444444444</v>
      </c>
      <c r="E135" t="s">
        <v>35</v>
      </c>
      <c r="F135" s="1"/>
      <c r="G135" s="1"/>
      <c r="H135" s="6"/>
      <c r="U135" s="2">
        <f>中央線快速_八王子・大月方面_平日[[#This Row],[発車時刻(Time)]]-$D134</f>
        <v>6.9444444444444198E-4</v>
      </c>
      <c r="V135" s="4">
        <f t="shared" si="2"/>
        <v>3.3489096573208843</v>
      </c>
    </row>
    <row r="136" spans="2:22" x14ac:dyDescent="0.2">
      <c r="B136" s="7" t="s">
        <v>55</v>
      </c>
      <c r="C136" s="1" t="s">
        <v>22</v>
      </c>
      <c r="D136" s="3">
        <v>0.56736111111111109</v>
      </c>
      <c r="E136" t="s">
        <v>35</v>
      </c>
      <c r="F136" s="1"/>
      <c r="G136" s="1"/>
      <c r="H136" s="6"/>
      <c r="U136" s="2">
        <f>中央線快速_八王子・大月方面_平日[[#This Row],[発車時刻(Time)]]-$D135</f>
        <v>4.1666666666666519E-3</v>
      </c>
      <c r="V136" s="4">
        <f t="shared" si="2"/>
        <v>0.55815160955348075</v>
      </c>
    </row>
    <row r="137" spans="2:22" x14ac:dyDescent="0.2">
      <c r="B137" s="7" t="s">
        <v>55</v>
      </c>
      <c r="C137" s="1" t="s">
        <v>21</v>
      </c>
      <c r="D137" s="3">
        <v>0.56874999999999998</v>
      </c>
      <c r="E137" t="s">
        <v>35</v>
      </c>
      <c r="F137" s="1"/>
      <c r="G137" s="1"/>
      <c r="H137" s="6"/>
      <c r="U137" s="2">
        <f>中央線快速_八王子・大月方面_平日[[#This Row],[発車時刻(Time)]]-$D136</f>
        <v>1.388888888888884E-3</v>
      </c>
      <c r="V137" s="4">
        <f t="shared" si="2"/>
        <v>1.6744548286604422</v>
      </c>
    </row>
    <row r="138" spans="2:22" x14ac:dyDescent="0.2">
      <c r="B138" s="7" t="s">
        <v>55</v>
      </c>
      <c r="C138" s="1" t="s">
        <v>22</v>
      </c>
      <c r="D138" s="3">
        <v>0.57222222222222219</v>
      </c>
      <c r="E138" t="s">
        <v>45</v>
      </c>
      <c r="F138" s="1"/>
      <c r="G138" s="1"/>
      <c r="H138" s="6"/>
      <c r="U138" s="2">
        <f>中央線快速_八王子・大月方面_平日[[#This Row],[発車時刻(Time)]]-$D137</f>
        <v>3.4722222222222099E-3</v>
      </c>
      <c r="V138" s="4">
        <f t="shared" si="2"/>
        <v>0.66978193146417686</v>
      </c>
    </row>
    <row r="139" spans="2:22" x14ac:dyDescent="0.2">
      <c r="B139" s="7" t="s">
        <v>55</v>
      </c>
      <c r="C139" s="1" t="s">
        <v>21</v>
      </c>
      <c r="D139" s="3">
        <v>0.57361111111111118</v>
      </c>
      <c r="E139" t="s">
        <v>44</v>
      </c>
      <c r="F139" s="1"/>
      <c r="G139" s="1"/>
      <c r="H139" s="6"/>
      <c r="U139" s="2">
        <f>中央線快速_八王子・大月方面_平日[[#This Row],[発車時刻(Time)]]-$D138</f>
        <v>1.388888888888995E-3</v>
      </c>
      <c r="V139" s="4">
        <f t="shared" si="2"/>
        <v>1.6744548286603083</v>
      </c>
    </row>
    <row r="140" spans="2:22" x14ac:dyDescent="0.2">
      <c r="B140" s="7" t="s">
        <v>55</v>
      </c>
      <c r="C140" s="1" t="s">
        <v>25</v>
      </c>
      <c r="D140" s="3">
        <v>0.57777777777777783</v>
      </c>
      <c r="E140" t="s">
        <v>36</v>
      </c>
      <c r="F140" s="1"/>
      <c r="G140" s="1"/>
      <c r="H140" s="6"/>
      <c r="U140" s="2">
        <f>中央線快速_八王子・大月方面_平日[[#This Row],[発車時刻(Time)]]-$D139</f>
        <v>4.1666666666666519E-3</v>
      </c>
      <c r="V140" s="4">
        <f t="shared" si="2"/>
        <v>0.55815160955348075</v>
      </c>
    </row>
    <row r="141" spans="2:22" x14ac:dyDescent="0.2">
      <c r="B141" s="7" t="s">
        <v>55</v>
      </c>
      <c r="C141" s="1" t="s">
        <v>21</v>
      </c>
      <c r="D141" s="3">
        <v>0.57916666666666672</v>
      </c>
      <c r="E141" t="s">
        <v>35</v>
      </c>
      <c r="F141" s="1"/>
      <c r="G141" s="1"/>
      <c r="H141" s="6"/>
      <c r="U141" s="2">
        <f>中央線快速_八王子・大月方面_平日[[#This Row],[発車時刻(Time)]]-$D140</f>
        <v>1.388888888888884E-3</v>
      </c>
      <c r="V141" s="4">
        <f t="shared" si="2"/>
        <v>1.6744548286604422</v>
      </c>
    </row>
    <row r="142" spans="2:22" x14ac:dyDescent="0.2">
      <c r="B142" s="9" t="s">
        <v>37</v>
      </c>
      <c r="C142" s="1" t="s">
        <v>24</v>
      </c>
      <c r="D142" s="3">
        <v>0.58333333333333337</v>
      </c>
      <c r="E142" t="s">
        <v>38</v>
      </c>
      <c r="F142" s="1"/>
      <c r="G142" s="1" t="s">
        <v>39</v>
      </c>
      <c r="H142" s="6"/>
      <c r="U142" s="2">
        <f>中央線快速_八王子・大月方面_平日[[#This Row],[発車時刻(Time)]]-$D141</f>
        <v>4.1666666666666519E-3</v>
      </c>
      <c r="V142" s="4">
        <f t="shared" si="2"/>
        <v>0.55815160955348075</v>
      </c>
    </row>
    <row r="143" spans="2:22" x14ac:dyDescent="0.2">
      <c r="B143" s="7" t="s">
        <v>55</v>
      </c>
      <c r="C143" s="1" t="s">
        <v>21</v>
      </c>
      <c r="D143" s="3">
        <v>0.58472222222222225</v>
      </c>
      <c r="E143" t="s">
        <v>36</v>
      </c>
      <c r="F143" s="1"/>
      <c r="G143" s="1"/>
      <c r="H143" s="6"/>
      <c r="U143" s="2">
        <f>中央線快速_八王子・大月方面_平日[[#This Row],[発車時刻(Time)]]-$D142</f>
        <v>1.388888888888884E-3</v>
      </c>
      <c r="V143" s="4">
        <f t="shared" si="2"/>
        <v>1.6744548286604422</v>
      </c>
    </row>
    <row r="144" spans="2:22" x14ac:dyDescent="0.2">
      <c r="B144" s="7" t="s">
        <v>55</v>
      </c>
      <c r="C144" s="1" t="s">
        <v>22</v>
      </c>
      <c r="D144" s="3">
        <v>0.58819444444444446</v>
      </c>
      <c r="E144" t="s">
        <v>35</v>
      </c>
      <c r="F144" s="1"/>
      <c r="G144" s="1"/>
      <c r="H144" s="6"/>
      <c r="U144" s="2">
        <f>中央線快速_八王子・大月方面_平日[[#This Row],[発車時刻(Time)]]-$D143</f>
        <v>3.4722222222222099E-3</v>
      </c>
      <c r="V144" s="4">
        <f t="shared" si="2"/>
        <v>0.66978193146417686</v>
      </c>
    </row>
    <row r="145" spans="2:22" x14ac:dyDescent="0.2">
      <c r="B145" s="7" t="s">
        <v>55</v>
      </c>
      <c r="C145" s="1" t="s">
        <v>21</v>
      </c>
      <c r="D145" s="3">
        <v>0.58958333333333335</v>
      </c>
      <c r="E145" t="s">
        <v>40</v>
      </c>
      <c r="F145" s="1"/>
      <c r="G145" s="1"/>
      <c r="H145" s="6"/>
      <c r="U145" s="2">
        <f>中央線快速_八王子・大月方面_平日[[#This Row],[発車時刻(Time)]]-$D144</f>
        <v>1.388888888888884E-3</v>
      </c>
      <c r="V145" s="4">
        <f t="shared" si="2"/>
        <v>1.6744548286604422</v>
      </c>
    </row>
    <row r="146" spans="2:22" x14ac:dyDescent="0.2">
      <c r="B146" s="7" t="s">
        <v>55</v>
      </c>
      <c r="C146" s="1" t="s">
        <v>21</v>
      </c>
      <c r="D146" s="3">
        <v>0.59166666666666667</v>
      </c>
      <c r="E146" t="s">
        <v>44</v>
      </c>
      <c r="F146" s="1"/>
      <c r="G146" s="1"/>
      <c r="H146" s="6"/>
      <c r="U146" s="2">
        <f>中央線快速_八王子・大月方面_平日[[#This Row],[発車時刻(Time)]]-$D145</f>
        <v>2.0833333333333259E-3</v>
      </c>
      <c r="V146" s="4">
        <f t="shared" si="2"/>
        <v>1.1163032191069615</v>
      </c>
    </row>
    <row r="147" spans="2:22" x14ac:dyDescent="0.2">
      <c r="B147" s="7" t="s">
        <v>55</v>
      </c>
      <c r="C147" s="1" t="s">
        <v>21</v>
      </c>
      <c r="D147" s="3">
        <v>0.59513888888888888</v>
      </c>
      <c r="E147" t="s">
        <v>40</v>
      </c>
      <c r="F147" s="1"/>
      <c r="G147" s="1"/>
      <c r="H147" s="6"/>
      <c r="U147" s="2">
        <f>中央線快速_八王子・大月方面_平日[[#This Row],[発車時刻(Time)]]-$D146</f>
        <v>3.4722222222222099E-3</v>
      </c>
      <c r="V147" s="4">
        <f t="shared" si="2"/>
        <v>0.66978193146417686</v>
      </c>
    </row>
    <row r="148" spans="2:22" x14ac:dyDescent="0.2">
      <c r="B148" s="7" t="s">
        <v>55</v>
      </c>
      <c r="C148" s="1" t="s">
        <v>22</v>
      </c>
      <c r="D148" s="3">
        <v>0.59861111111111109</v>
      </c>
      <c r="E148" t="s">
        <v>35</v>
      </c>
      <c r="F148" s="1"/>
      <c r="G148" s="1"/>
      <c r="H148" s="6"/>
      <c r="U148" s="2">
        <f>中央線快速_八王子・大月方面_平日[[#This Row],[発車時刻(Time)]]-$D147</f>
        <v>3.4722222222222099E-3</v>
      </c>
      <c r="V148" s="4">
        <f t="shared" si="2"/>
        <v>0.66978193146417686</v>
      </c>
    </row>
    <row r="149" spans="2:22" x14ac:dyDescent="0.2">
      <c r="B149" s="7" t="s">
        <v>55</v>
      </c>
      <c r="C149" s="1" t="s">
        <v>21</v>
      </c>
      <c r="D149" s="3">
        <v>0.6</v>
      </c>
      <c r="E149" t="s">
        <v>36</v>
      </c>
      <c r="F149" s="1"/>
      <c r="G149" s="1"/>
      <c r="H149" s="6"/>
      <c r="U149" s="2">
        <f>中央線快速_八王子・大月方面_平日[[#This Row],[発車時刻(Time)]]-$D148</f>
        <v>1.388888888888884E-3</v>
      </c>
      <c r="V149" s="4">
        <f t="shared" si="2"/>
        <v>1.6744548286604422</v>
      </c>
    </row>
    <row r="150" spans="2:22" x14ac:dyDescent="0.2">
      <c r="B150" s="9" t="s">
        <v>37</v>
      </c>
      <c r="C150" s="1" t="s">
        <v>24</v>
      </c>
      <c r="D150" s="3">
        <v>0.60416666666666663</v>
      </c>
      <c r="E150" t="s">
        <v>46</v>
      </c>
      <c r="F150" s="1"/>
      <c r="G150" s="1" t="s">
        <v>39</v>
      </c>
      <c r="H150" s="6"/>
      <c r="U150" s="2">
        <f>中央線快速_八王子・大月方面_平日[[#This Row],[発車時刻(Time)]]-$D149</f>
        <v>4.1666666666666519E-3</v>
      </c>
      <c r="V150" s="4">
        <f t="shared" si="2"/>
        <v>0.55815160955348075</v>
      </c>
    </row>
    <row r="151" spans="2:22" x14ac:dyDescent="0.2">
      <c r="B151" s="7" t="s">
        <v>55</v>
      </c>
      <c r="C151" s="1" t="s">
        <v>21</v>
      </c>
      <c r="D151" s="3">
        <v>0.60486111111111118</v>
      </c>
      <c r="E151" t="s">
        <v>35</v>
      </c>
      <c r="F151" s="1"/>
      <c r="G151" s="1"/>
      <c r="H151" s="6"/>
      <c r="U151" s="2">
        <f>中央線快速_八王子・大月方面_平日[[#This Row],[発車時刻(Time)]]-$D150</f>
        <v>6.94444444444553E-4</v>
      </c>
      <c r="V151" s="4">
        <f t="shared" si="2"/>
        <v>3.3489096573203492</v>
      </c>
    </row>
    <row r="152" spans="2:22" x14ac:dyDescent="0.2">
      <c r="B152" s="7" t="s">
        <v>55</v>
      </c>
      <c r="C152" s="1" t="s">
        <v>22</v>
      </c>
      <c r="D152" s="3">
        <v>0.60902777777777783</v>
      </c>
      <c r="E152" t="s">
        <v>35</v>
      </c>
      <c r="F152" s="1"/>
      <c r="G152" s="1"/>
      <c r="H152" s="6"/>
      <c r="U152" s="2">
        <f>中央線快速_八王子・大月方面_平日[[#This Row],[発車時刻(Time)]]-$D151</f>
        <v>4.1666666666666519E-3</v>
      </c>
      <c r="V152" s="4">
        <f t="shared" si="2"/>
        <v>0.55815160955348075</v>
      </c>
    </row>
    <row r="153" spans="2:22" x14ac:dyDescent="0.2">
      <c r="B153" s="7" t="s">
        <v>55</v>
      </c>
      <c r="C153" s="1" t="s">
        <v>21</v>
      </c>
      <c r="D153" s="3">
        <v>0.61041666666666672</v>
      </c>
      <c r="E153" t="s">
        <v>35</v>
      </c>
      <c r="F153" s="1"/>
      <c r="G153" s="1"/>
      <c r="H153" s="6"/>
      <c r="U153" s="2">
        <f>中央線快速_八王子・大月方面_平日[[#This Row],[発車時刻(Time)]]-$D152</f>
        <v>1.388888888888884E-3</v>
      </c>
      <c r="V153" s="4">
        <f t="shared" si="2"/>
        <v>1.6744548286604422</v>
      </c>
    </row>
    <row r="154" spans="2:22" x14ac:dyDescent="0.2">
      <c r="B154" s="7" t="s">
        <v>55</v>
      </c>
      <c r="C154" s="1" t="s">
        <v>22</v>
      </c>
      <c r="D154" s="3">
        <v>0.61388888888888882</v>
      </c>
      <c r="E154" t="s">
        <v>45</v>
      </c>
      <c r="F154" s="1"/>
      <c r="G154" s="1"/>
      <c r="H154" s="6"/>
      <c r="U154" s="2">
        <f>中央線快速_八王子・大月方面_平日[[#This Row],[発車時刻(Time)]]-$D153</f>
        <v>3.4722222222220989E-3</v>
      </c>
      <c r="V154" s="4">
        <f t="shared" si="2"/>
        <v>0.66978193146419818</v>
      </c>
    </row>
    <row r="155" spans="2:22" x14ac:dyDescent="0.2">
      <c r="B155" s="7" t="s">
        <v>55</v>
      </c>
      <c r="C155" s="1" t="s">
        <v>21</v>
      </c>
      <c r="D155" s="3">
        <v>0.61527777777777781</v>
      </c>
      <c r="E155" t="s">
        <v>44</v>
      </c>
      <c r="F155" s="1"/>
      <c r="G155" s="1"/>
      <c r="H155" s="6"/>
      <c r="U155" s="2">
        <f>中央線快速_八王子・大月方面_平日[[#This Row],[発車時刻(Time)]]-$D154</f>
        <v>1.388888888888995E-3</v>
      </c>
      <c r="V155" s="4">
        <f t="shared" si="2"/>
        <v>1.6744548286603083</v>
      </c>
    </row>
    <row r="156" spans="2:22" x14ac:dyDescent="0.2">
      <c r="B156" s="7" t="s">
        <v>55</v>
      </c>
      <c r="C156" s="1" t="s">
        <v>25</v>
      </c>
      <c r="D156" s="3">
        <v>0.61944444444444446</v>
      </c>
      <c r="E156" t="s">
        <v>36</v>
      </c>
      <c r="F156" s="1"/>
      <c r="G156" s="1"/>
      <c r="H156" s="6"/>
      <c r="U156" s="2">
        <f>中央線快速_八王子・大月方面_平日[[#This Row],[発車時刻(Time)]]-$D155</f>
        <v>4.1666666666666519E-3</v>
      </c>
      <c r="V156" s="4">
        <f t="shared" si="2"/>
        <v>0.55815160955348075</v>
      </c>
    </row>
    <row r="157" spans="2:22" x14ac:dyDescent="0.2">
      <c r="B157" s="7" t="s">
        <v>55</v>
      </c>
      <c r="C157" s="1" t="s">
        <v>21</v>
      </c>
      <c r="D157" s="3">
        <v>0.62083333333333335</v>
      </c>
      <c r="E157" t="s">
        <v>35</v>
      </c>
      <c r="F157" s="1"/>
      <c r="G157" s="1"/>
      <c r="H157" s="6"/>
      <c r="U157" s="2">
        <f>中央線快速_八王子・大月方面_平日[[#This Row],[発車時刻(Time)]]-$D156</f>
        <v>1.388888888888884E-3</v>
      </c>
      <c r="V157" s="4">
        <f t="shared" si="2"/>
        <v>1.6744548286604422</v>
      </c>
    </row>
    <row r="158" spans="2:22" x14ac:dyDescent="0.2">
      <c r="B158" s="9" t="s">
        <v>37</v>
      </c>
      <c r="C158" s="1" t="s">
        <v>24</v>
      </c>
      <c r="D158" s="3">
        <v>0.625</v>
      </c>
      <c r="E158" t="s">
        <v>38</v>
      </c>
      <c r="F158" s="1"/>
      <c r="G158" s="1" t="s">
        <v>39</v>
      </c>
      <c r="H158" s="6"/>
      <c r="U158" s="2">
        <f>中央線快速_八王子・大月方面_平日[[#This Row],[発車時刻(Time)]]-$D157</f>
        <v>4.1666666666666519E-3</v>
      </c>
      <c r="V158" s="4">
        <f t="shared" si="2"/>
        <v>0.55815160955348075</v>
      </c>
    </row>
    <row r="159" spans="2:22" x14ac:dyDescent="0.2">
      <c r="B159" s="7" t="s">
        <v>55</v>
      </c>
      <c r="C159" s="1" t="s">
        <v>21</v>
      </c>
      <c r="D159" s="3">
        <v>0.62638888888888888</v>
      </c>
      <c r="E159" t="s">
        <v>36</v>
      </c>
      <c r="F159" s="1"/>
      <c r="G159" s="1"/>
      <c r="H159" s="6"/>
      <c r="U159" s="2">
        <f>中央線快速_八王子・大月方面_平日[[#This Row],[発車時刻(Time)]]-$D158</f>
        <v>1.388888888888884E-3</v>
      </c>
      <c r="V159" s="4">
        <f t="shared" si="2"/>
        <v>1.6744548286604422</v>
      </c>
    </row>
    <row r="160" spans="2:22" x14ac:dyDescent="0.2">
      <c r="B160" s="7" t="s">
        <v>55</v>
      </c>
      <c r="C160" s="1" t="s">
        <v>22</v>
      </c>
      <c r="D160" s="3">
        <v>0.62986111111111109</v>
      </c>
      <c r="E160" t="s">
        <v>35</v>
      </c>
      <c r="F160" s="1"/>
      <c r="G160" s="1"/>
      <c r="H160" s="6"/>
      <c r="U160" s="2">
        <f>中央線快速_八王子・大月方面_平日[[#This Row],[発車時刻(Time)]]-$D159</f>
        <v>3.4722222222222099E-3</v>
      </c>
      <c r="V160" s="4">
        <f t="shared" si="2"/>
        <v>0.66978193146417686</v>
      </c>
    </row>
    <row r="161" spans="2:22" x14ac:dyDescent="0.2">
      <c r="B161" s="7" t="s">
        <v>55</v>
      </c>
      <c r="C161" s="1" t="s">
        <v>21</v>
      </c>
      <c r="D161" s="3">
        <v>0.63124999999999998</v>
      </c>
      <c r="E161" t="s">
        <v>44</v>
      </c>
      <c r="F161" s="1"/>
      <c r="G161" s="1"/>
      <c r="H161" s="6"/>
      <c r="U161" s="2">
        <f>中央線快速_八王子・大月方面_平日[[#This Row],[発車時刻(Time)]]-$D160</f>
        <v>1.388888888888884E-3</v>
      </c>
      <c r="V161" s="4">
        <f t="shared" si="2"/>
        <v>1.6744548286604422</v>
      </c>
    </row>
    <row r="162" spans="2:22" x14ac:dyDescent="0.2">
      <c r="B162" s="7" t="s">
        <v>55</v>
      </c>
      <c r="C162" s="1" t="s">
        <v>21</v>
      </c>
      <c r="D162" s="3">
        <v>0.6333333333333333</v>
      </c>
      <c r="E162" t="s">
        <v>40</v>
      </c>
      <c r="F162" s="1"/>
      <c r="G162" s="1"/>
      <c r="H162" s="6"/>
      <c r="U162" s="2">
        <f>中央線快速_八王子・大月方面_平日[[#This Row],[発車時刻(Time)]]-$D161</f>
        <v>2.0833333333333259E-3</v>
      </c>
      <c r="V162" s="4">
        <f t="shared" si="2"/>
        <v>1.1163032191069615</v>
      </c>
    </row>
    <row r="163" spans="2:22" x14ac:dyDescent="0.2">
      <c r="B163" s="7" t="s">
        <v>55</v>
      </c>
      <c r="C163" s="1" t="s">
        <v>21</v>
      </c>
      <c r="D163" s="3">
        <v>0.63541666666666663</v>
      </c>
      <c r="E163" t="s">
        <v>35</v>
      </c>
      <c r="F163" s="1"/>
      <c r="G163" s="1"/>
      <c r="H163" s="6"/>
      <c r="U163" s="2">
        <f>中央線快速_八王子・大月方面_平日[[#This Row],[発車時刻(Time)]]-$D162</f>
        <v>2.0833333333333259E-3</v>
      </c>
      <c r="V163" s="4">
        <f t="shared" si="2"/>
        <v>1.1163032191069615</v>
      </c>
    </row>
    <row r="164" spans="2:22" x14ac:dyDescent="0.2">
      <c r="B164" s="7" t="s">
        <v>55</v>
      </c>
      <c r="C164" s="1" t="s">
        <v>22</v>
      </c>
      <c r="D164" s="3">
        <v>0.63958333333333328</v>
      </c>
      <c r="E164" t="s">
        <v>35</v>
      </c>
      <c r="F164" s="1"/>
      <c r="G164" s="1"/>
      <c r="H164" s="6"/>
      <c r="U164" s="2">
        <f>中央線快速_八王子・大月方面_平日[[#This Row],[発車時刻(Time)]]-$D163</f>
        <v>4.1666666666666519E-3</v>
      </c>
      <c r="V164" s="4">
        <f t="shared" si="2"/>
        <v>0.55815160955348075</v>
      </c>
    </row>
    <row r="165" spans="2:22" x14ac:dyDescent="0.2">
      <c r="B165" s="7" t="s">
        <v>55</v>
      </c>
      <c r="C165" s="1" t="s">
        <v>21</v>
      </c>
      <c r="D165" s="3">
        <v>0.64166666666666672</v>
      </c>
      <c r="E165" t="s">
        <v>36</v>
      </c>
      <c r="F165" s="1"/>
      <c r="G165" s="1"/>
      <c r="H165" s="6"/>
      <c r="U165" s="2">
        <f>中央線快速_八王子・大月方面_平日[[#This Row],[発車時刻(Time)]]-$D164</f>
        <v>2.083333333333437E-3</v>
      </c>
      <c r="V165" s="4">
        <f t="shared" si="2"/>
        <v>1.116303219106902</v>
      </c>
    </row>
    <row r="166" spans="2:22" x14ac:dyDescent="0.2">
      <c r="B166" s="9" t="s">
        <v>37</v>
      </c>
      <c r="C166" s="1" t="s">
        <v>24</v>
      </c>
      <c r="D166" s="3">
        <v>0.64583333333333337</v>
      </c>
      <c r="E166" t="s">
        <v>46</v>
      </c>
      <c r="F166" s="1"/>
      <c r="G166" s="1"/>
      <c r="H166" s="6"/>
      <c r="U166" s="2">
        <f>中央線快速_八王子・大月方面_平日[[#This Row],[発車時刻(Time)]]-$D165</f>
        <v>4.1666666666666519E-3</v>
      </c>
      <c r="V166" s="4">
        <f t="shared" si="2"/>
        <v>0.55815160955348075</v>
      </c>
    </row>
    <row r="167" spans="2:22" x14ac:dyDescent="0.2">
      <c r="B167" s="7" t="s">
        <v>55</v>
      </c>
      <c r="C167" s="1" t="s">
        <v>21</v>
      </c>
      <c r="D167" s="3">
        <v>0.64652777777777781</v>
      </c>
      <c r="E167" t="s">
        <v>40</v>
      </c>
      <c r="F167" s="1"/>
      <c r="G167" s="1"/>
      <c r="H167" s="6"/>
      <c r="U167" s="2">
        <f>中央線快速_八王子・大月方面_平日[[#This Row],[発車時刻(Time)]]-$D166</f>
        <v>6.9444444444444198E-4</v>
      </c>
      <c r="V167" s="4">
        <f t="shared" si="2"/>
        <v>3.3489096573208843</v>
      </c>
    </row>
    <row r="168" spans="2:22" x14ac:dyDescent="0.2">
      <c r="B168" s="7" t="s">
        <v>55</v>
      </c>
      <c r="C168" s="1" t="s">
        <v>22</v>
      </c>
      <c r="D168" s="3">
        <v>0.65069444444444446</v>
      </c>
      <c r="E168" t="s">
        <v>35</v>
      </c>
      <c r="F168" s="1"/>
      <c r="G168" s="1"/>
      <c r="H168" s="6"/>
      <c r="U168" s="2">
        <f>中央線快速_八王子・大月方面_平日[[#This Row],[発車時刻(Time)]]-$D167</f>
        <v>4.1666666666666519E-3</v>
      </c>
      <c r="V168" s="4">
        <f t="shared" si="2"/>
        <v>0.55815160955348075</v>
      </c>
    </row>
    <row r="169" spans="2:22" x14ac:dyDescent="0.2">
      <c r="B169" s="7" t="s">
        <v>55</v>
      </c>
      <c r="C169" s="1" t="s">
        <v>21</v>
      </c>
      <c r="D169" s="3">
        <v>0.65208333333333335</v>
      </c>
      <c r="E169" t="s">
        <v>35</v>
      </c>
      <c r="F169" s="1"/>
      <c r="G169" s="1"/>
      <c r="H169" s="6"/>
      <c r="U169" s="2">
        <f>中央線快速_八王子・大月方面_平日[[#This Row],[発車時刻(Time)]]-$D168</f>
        <v>1.388888888888884E-3</v>
      </c>
      <c r="V169" s="4">
        <f t="shared" si="2"/>
        <v>1.6744548286604422</v>
      </c>
    </row>
    <row r="170" spans="2:22" x14ac:dyDescent="0.2">
      <c r="B170" s="7" t="s">
        <v>55</v>
      </c>
      <c r="C170" s="1" t="s">
        <v>22</v>
      </c>
      <c r="D170" s="3">
        <v>0.65625</v>
      </c>
      <c r="E170" t="s">
        <v>35</v>
      </c>
      <c r="F170" s="1"/>
      <c r="G170" s="1"/>
      <c r="H170" s="6"/>
      <c r="U170" s="2">
        <f>中央線快速_八王子・大月方面_平日[[#This Row],[発車時刻(Time)]]-$D169</f>
        <v>4.1666666666666519E-3</v>
      </c>
      <c r="V170" s="4">
        <f t="shared" si="2"/>
        <v>0.55815160955348075</v>
      </c>
    </row>
    <row r="171" spans="2:22" x14ac:dyDescent="0.2">
      <c r="B171" s="7" t="s">
        <v>55</v>
      </c>
      <c r="C171" s="1" t="s">
        <v>21</v>
      </c>
      <c r="D171" s="3">
        <v>0.65763888888888888</v>
      </c>
      <c r="E171" t="s">
        <v>36</v>
      </c>
      <c r="F171" s="1"/>
      <c r="G171" s="1"/>
      <c r="H171" s="6"/>
      <c r="U171" s="2">
        <f>中央線快速_八王子・大月方面_平日[[#This Row],[発車時刻(Time)]]-$D170</f>
        <v>1.388888888888884E-3</v>
      </c>
      <c r="V171" s="4">
        <f t="shared" si="2"/>
        <v>1.6744548286604422</v>
      </c>
    </row>
    <row r="172" spans="2:22" x14ac:dyDescent="0.2">
      <c r="B172" s="7" t="s">
        <v>55</v>
      </c>
      <c r="C172" s="1" t="s">
        <v>22</v>
      </c>
      <c r="D172" s="3">
        <v>0.66111111111111109</v>
      </c>
      <c r="E172" t="s">
        <v>35</v>
      </c>
      <c r="F172" s="1"/>
      <c r="G172" s="1"/>
      <c r="H172" s="6"/>
      <c r="U172" s="2">
        <f>中央線快速_八王子・大月方面_平日[[#This Row],[発車時刻(Time)]]-$D171</f>
        <v>3.4722222222222099E-3</v>
      </c>
      <c r="V172" s="4">
        <f t="shared" si="2"/>
        <v>0.66978193146417686</v>
      </c>
    </row>
    <row r="173" spans="2:22" x14ac:dyDescent="0.2">
      <c r="B173" s="7" t="s">
        <v>55</v>
      </c>
      <c r="C173" s="1" t="s">
        <v>21</v>
      </c>
      <c r="D173" s="3">
        <v>0.66319444444444442</v>
      </c>
      <c r="E173" t="s">
        <v>43</v>
      </c>
      <c r="F173" s="1"/>
      <c r="G173" s="1"/>
      <c r="H173" s="6"/>
      <c r="U173" s="2">
        <f>中央線快速_八王子・大月方面_平日[[#This Row],[発車時刻(Time)]]-$D172</f>
        <v>2.0833333333333259E-3</v>
      </c>
      <c r="V173" s="4">
        <f t="shared" si="2"/>
        <v>1.1163032191069615</v>
      </c>
    </row>
    <row r="174" spans="2:22" x14ac:dyDescent="0.2">
      <c r="B174" s="9" t="s">
        <v>37</v>
      </c>
      <c r="C174" s="1" t="s">
        <v>24</v>
      </c>
      <c r="D174" s="3">
        <v>0.66666666666666663</v>
      </c>
      <c r="E174" t="s">
        <v>38</v>
      </c>
      <c r="F174" s="1"/>
      <c r="G174" s="1" t="s">
        <v>39</v>
      </c>
      <c r="H174" s="6"/>
      <c r="U174" s="2">
        <f>中央線快速_八王子・大月方面_平日[[#This Row],[発車時刻(Time)]]-$D173</f>
        <v>3.4722222222222099E-3</v>
      </c>
      <c r="V174" s="4">
        <f t="shared" si="2"/>
        <v>0.66978193146417686</v>
      </c>
    </row>
    <row r="175" spans="2:22" x14ac:dyDescent="0.2">
      <c r="B175" s="7" t="s">
        <v>55</v>
      </c>
      <c r="C175" s="1" t="s">
        <v>21</v>
      </c>
      <c r="D175" s="3">
        <v>0.66805555555555562</v>
      </c>
      <c r="E175" t="s">
        <v>35</v>
      </c>
      <c r="F175" s="1"/>
      <c r="G175" s="1"/>
      <c r="H175" s="6"/>
      <c r="U175" s="2">
        <f>中央線快速_八王子・大月方面_平日[[#This Row],[発車時刻(Time)]]-$D174</f>
        <v>1.388888888888995E-3</v>
      </c>
      <c r="V175" s="4">
        <f t="shared" si="2"/>
        <v>1.6744548286603083</v>
      </c>
    </row>
    <row r="176" spans="2:22" x14ac:dyDescent="0.2">
      <c r="B176" s="7" t="s">
        <v>55</v>
      </c>
      <c r="C176" s="1" t="s">
        <v>22</v>
      </c>
      <c r="D176" s="3">
        <v>0.67152777777777783</v>
      </c>
      <c r="E176" t="s">
        <v>35</v>
      </c>
      <c r="F176" s="1"/>
      <c r="G176" s="1"/>
      <c r="H176" s="6"/>
      <c r="U176" s="2">
        <f>中央線快速_八王子・大月方面_平日[[#This Row],[発車時刻(Time)]]-$D175</f>
        <v>3.4722222222222099E-3</v>
      </c>
      <c r="V176" s="4">
        <f t="shared" si="2"/>
        <v>0.66978193146417686</v>
      </c>
    </row>
    <row r="177" spans="2:22" x14ac:dyDescent="0.2">
      <c r="B177" s="7" t="s">
        <v>55</v>
      </c>
      <c r="C177" s="1" t="s">
        <v>21</v>
      </c>
      <c r="D177" s="3">
        <v>0.67291666666666661</v>
      </c>
      <c r="E177" t="s">
        <v>35</v>
      </c>
      <c r="F177" s="1"/>
      <c r="G177" s="1"/>
      <c r="H177" s="6"/>
      <c r="U177" s="2">
        <f>中央線快速_八王子・大月方面_平日[[#This Row],[発車時刻(Time)]]-$D176</f>
        <v>1.3888888888887729E-3</v>
      </c>
      <c r="V177" s="4">
        <f t="shared" si="2"/>
        <v>1.674454828660576</v>
      </c>
    </row>
    <row r="178" spans="2:22" x14ac:dyDescent="0.2">
      <c r="B178" s="7" t="s">
        <v>55</v>
      </c>
      <c r="C178" s="1" t="s">
        <v>21</v>
      </c>
      <c r="D178" s="3">
        <v>0.67499999999999993</v>
      </c>
      <c r="E178" t="s">
        <v>40</v>
      </c>
      <c r="F178" s="1"/>
      <c r="G178" s="1"/>
      <c r="H178" s="6"/>
      <c r="U178" s="2">
        <f>中央線快速_八王子・大月方面_平日[[#This Row],[発車時刻(Time)]]-$D177</f>
        <v>2.0833333333333259E-3</v>
      </c>
      <c r="V178" s="4">
        <f t="shared" si="2"/>
        <v>1.1163032191069615</v>
      </c>
    </row>
    <row r="179" spans="2:22" x14ac:dyDescent="0.2">
      <c r="B179" s="7" t="s">
        <v>55</v>
      </c>
      <c r="C179" s="1" t="s">
        <v>22</v>
      </c>
      <c r="D179" s="3">
        <v>0.6791666666666667</v>
      </c>
      <c r="E179" t="s">
        <v>35</v>
      </c>
      <c r="F179" s="1"/>
      <c r="G179" s="1"/>
      <c r="H179" s="6"/>
      <c r="U179" s="2">
        <f>中央線快速_八王子・大月方面_平日[[#This Row],[発車時刻(Time)]]-$D178</f>
        <v>4.1666666666667629E-3</v>
      </c>
      <c r="V179" s="4">
        <f t="shared" si="2"/>
        <v>0.55815160955346588</v>
      </c>
    </row>
    <row r="180" spans="2:22" x14ac:dyDescent="0.2">
      <c r="B180" s="7" t="s">
        <v>55</v>
      </c>
      <c r="C180" s="1" t="s">
        <v>21</v>
      </c>
      <c r="D180" s="3">
        <v>0.68055555555555547</v>
      </c>
      <c r="E180" t="s">
        <v>35</v>
      </c>
      <c r="F180" s="1"/>
      <c r="G180" s="1"/>
      <c r="H180" s="6"/>
      <c r="U180" s="2">
        <f>中央線快速_八王子・大月方面_平日[[#This Row],[発車時刻(Time)]]-$D179</f>
        <v>1.3888888888887729E-3</v>
      </c>
      <c r="V180" s="4">
        <f t="shared" si="2"/>
        <v>1.674454828660576</v>
      </c>
    </row>
    <row r="181" spans="2:22" x14ac:dyDescent="0.2">
      <c r="B181" s="7" t="s">
        <v>55</v>
      </c>
      <c r="C181" s="1" t="s">
        <v>21</v>
      </c>
      <c r="D181" s="3">
        <v>0.68402777777777779</v>
      </c>
      <c r="E181" t="s">
        <v>43</v>
      </c>
      <c r="F181" s="1"/>
      <c r="G181" s="1"/>
      <c r="H181" s="6"/>
      <c r="U181" s="2">
        <f>中央線快速_八王子・大月方面_平日[[#This Row],[発車時刻(Time)]]-$D180</f>
        <v>3.4722222222223209E-3</v>
      </c>
      <c r="V181" s="4">
        <f t="shared" si="2"/>
        <v>0.66978193146415543</v>
      </c>
    </row>
    <row r="182" spans="2:22" x14ac:dyDescent="0.2">
      <c r="B182" s="9" t="s">
        <v>37</v>
      </c>
      <c r="C182" s="1" t="s">
        <v>24</v>
      </c>
      <c r="D182" s="3">
        <v>0.6875</v>
      </c>
      <c r="E182" t="s">
        <v>46</v>
      </c>
      <c r="F182" s="1"/>
      <c r="G182" s="1"/>
      <c r="H182" s="6"/>
      <c r="U182" s="2">
        <f>中央線快速_八王子・大月方面_平日[[#This Row],[発車時刻(Time)]]-$D181</f>
        <v>3.4722222222222099E-3</v>
      </c>
      <c r="V182" s="4">
        <f t="shared" si="2"/>
        <v>0.66978193146417686</v>
      </c>
    </row>
    <row r="183" spans="2:22" x14ac:dyDescent="0.2">
      <c r="B183" s="7" t="s">
        <v>55</v>
      </c>
      <c r="C183" s="1" t="s">
        <v>21</v>
      </c>
      <c r="D183" s="3">
        <v>0.68819444444444444</v>
      </c>
      <c r="E183" t="s">
        <v>36</v>
      </c>
      <c r="F183" s="1"/>
      <c r="G183" s="1"/>
      <c r="H183" s="6"/>
      <c r="U183" s="2">
        <f>中央線快速_八王子・大月方面_平日[[#This Row],[発車時刻(Time)]]-$D182</f>
        <v>6.9444444444444198E-4</v>
      </c>
      <c r="V183" s="4">
        <f t="shared" si="2"/>
        <v>3.3489096573208843</v>
      </c>
    </row>
    <row r="184" spans="2:22" x14ac:dyDescent="0.2">
      <c r="B184" s="7" t="s">
        <v>55</v>
      </c>
      <c r="C184" s="1" t="s">
        <v>21</v>
      </c>
      <c r="D184" s="3">
        <v>0.69166666666666676</v>
      </c>
      <c r="E184" t="s">
        <v>35</v>
      </c>
      <c r="F184" s="1"/>
      <c r="G184" s="1"/>
      <c r="H184" s="6"/>
      <c r="U184" s="2">
        <f>中央線快速_八王子・大月方面_平日[[#This Row],[発車時刻(Time)]]-$D183</f>
        <v>3.4722222222223209E-3</v>
      </c>
      <c r="V184" s="4">
        <f t="shared" si="2"/>
        <v>0.66978193146415543</v>
      </c>
    </row>
    <row r="185" spans="2:22" x14ac:dyDescent="0.2">
      <c r="B185" s="7" t="s">
        <v>55</v>
      </c>
      <c r="C185" s="1" t="s">
        <v>22</v>
      </c>
      <c r="D185" s="3">
        <v>0.69513888888888886</v>
      </c>
      <c r="E185" t="s">
        <v>35</v>
      </c>
      <c r="F185" s="1"/>
      <c r="G185" s="1"/>
      <c r="H185" s="6"/>
      <c r="U185" s="2">
        <f>中央線快速_八王子・大月方面_平日[[#This Row],[発車時刻(Time)]]-$D184</f>
        <v>3.4722222222220989E-3</v>
      </c>
      <c r="V185" s="4">
        <f t="shared" si="2"/>
        <v>0.66978193146419818</v>
      </c>
    </row>
    <row r="186" spans="2:22" x14ac:dyDescent="0.2">
      <c r="B186" s="7" t="s">
        <v>55</v>
      </c>
      <c r="C186" s="1" t="s">
        <v>21</v>
      </c>
      <c r="D186" s="3">
        <v>0.6972222222222223</v>
      </c>
      <c r="E186" t="s">
        <v>35</v>
      </c>
      <c r="F186" s="1"/>
      <c r="G186" s="1"/>
      <c r="H186" s="6"/>
      <c r="U186" s="2">
        <f>中央線快速_八王子・大月方面_平日[[#This Row],[発車時刻(Time)]]-$D185</f>
        <v>2.083333333333437E-3</v>
      </c>
      <c r="V186" s="4">
        <f t="shared" si="2"/>
        <v>1.116303219106902</v>
      </c>
    </row>
    <row r="187" spans="2:22" x14ac:dyDescent="0.2">
      <c r="B187" s="7" t="s">
        <v>55</v>
      </c>
      <c r="C187" s="1" t="s">
        <v>21</v>
      </c>
      <c r="D187" s="3">
        <v>0.69930555555555562</v>
      </c>
      <c r="E187" t="s">
        <v>36</v>
      </c>
      <c r="F187" s="1"/>
      <c r="G187" s="1"/>
      <c r="H187" s="6"/>
      <c r="U187" s="2">
        <f>中央線快速_八王子・大月方面_平日[[#This Row],[発車時刻(Time)]]-$D186</f>
        <v>2.0833333333333259E-3</v>
      </c>
      <c r="V187" s="4">
        <f t="shared" si="2"/>
        <v>1.1163032191069615</v>
      </c>
    </row>
    <row r="188" spans="2:22" x14ac:dyDescent="0.2">
      <c r="B188" s="7" t="s">
        <v>55</v>
      </c>
      <c r="C188" s="1" t="s">
        <v>21</v>
      </c>
      <c r="D188" s="3">
        <v>0.7006944444444444</v>
      </c>
      <c r="E188" t="s">
        <v>44</v>
      </c>
      <c r="F188" s="1"/>
      <c r="G188" s="1"/>
      <c r="H188" s="6"/>
      <c r="U188" s="2">
        <f>中央線快速_八王子・大月方面_平日[[#This Row],[発車時刻(Time)]]-$D187</f>
        <v>1.3888888888887729E-3</v>
      </c>
      <c r="V188" s="4">
        <f t="shared" si="2"/>
        <v>1.674454828660576</v>
      </c>
    </row>
    <row r="189" spans="2:22" x14ac:dyDescent="0.2">
      <c r="B189" s="7" t="s">
        <v>55</v>
      </c>
      <c r="C189" s="1" t="s">
        <v>21</v>
      </c>
      <c r="D189" s="3">
        <v>0.70208333333333339</v>
      </c>
      <c r="E189" t="s">
        <v>40</v>
      </c>
      <c r="F189" s="1"/>
      <c r="G189" s="1"/>
      <c r="H189" s="6"/>
      <c r="U189" s="2">
        <f>中央線快速_八王子・大月方面_平日[[#This Row],[発車時刻(Time)]]-$D188</f>
        <v>1.388888888888995E-3</v>
      </c>
      <c r="V189" s="4">
        <f t="shared" si="2"/>
        <v>1.6744548286603083</v>
      </c>
    </row>
    <row r="190" spans="2:22" x14ac:dyDescent="0.2">
      <c r="B190" s="7" t="s">
        <v>55</v>
      </c>
      <c r="C190" s="1" t="s">
        <v>21</v>
      </c>
      <c r="D190" s="3">
        <v>0.70486111111111116</v>
      </c>
      <c r="E190" t="s">
        <v>45</v>
      </c>
      <c r="F190" s="1"/>
      <c r="G190" s="1"/>
      <c r="H190" s="6"/>
      <c r="U190" s="2">
        <f>中央線快速_八王子・大月方面_平日[[#This Row],[発車時刻(Time)]]-$D189</f>
        <v>2.7777777777777679E-3</v>
      </c>
      <c r="V190" s="4">
        <f t="shared" si="2"/>
        <v>0.83722741433022108</v>
      </c>
    </row>
    <row r="191" spans="2:22" x14ac:dyDescent="0.2">
      <c r="B191" s="9" t="s">
        <v>37</v>
      </c>
      <c r="C191" s="1" t="s">
        <v>24</v>
      </c>
      <c r="D191" s="3">
        <v>0.70833333333333337</v>
      </c>
      <c r="E191" t="s">
        <v>38</v>
      </c>
      <c r="F191" s="1"/>
      <c r="G191" s="1"/>
      <c r="H191" s="6"/>
      <c r="U191" s="2">
        <f>中央線快速_八王子・大月方面_平日[[#This Row],[発車時刻(Time)]]-$D190</f>
        <v>3.4722222222222099E-3</v>
      </c>
      <c r="V191" s="4">
        <f t="shared" si="2"/>
        <v>0.66978193146417686</v>
      </c>
    </row>
    <row r="192" spans="2:22" x14ac:dyDescent="0.2">
      <c r="B192" s="7" t="s">
        <v>55</v>
      </c>
      <c r="C192" s="1" t="s">
        <v>21</v>
      </c>
      <c r="D192" s="3">
        <v>0.70972222222222225</v>
      </c>
      <c r="E192" t="s">
        <v>35</v>
      </c>
      <c r="F192" s="1"/>
      <c r="G192" s="1"/>
      <c r="H192" s="6"/>
      <c r="U192" s="2">
        <f>中央線快速_八王子・大月方面_平日[[#This Row],[発車時刻(Time)]]-$D191</f>
        <v>1.388888888888884E-3</v>
      </c>
      <c r="V192" s="4">
        <f t="shared" si="2"/>
        <v>1.6744548286604422</v>
      </c>
    </row>
    <row r="193" spans="2:22" x14ac:dyDescent="0.2">
      <c r="B193" s="7" t="s">
        <v>55</v>
      </c>
      <c r="C193" s="1" t="s">
        <v>21</v>
      </c>
      <c r="D193" s="3">
        <v>0.71250000000000002</v>
      </c>
      <c r="E193" t="s">
        <v>35</v>
      </c>
      <c r="F193" s="1"/>
      <c r="G193" s="1"/>
      <c r="H193" s="6"/>
      <c r="U193" s="2">
        <f>中央線快速_八王子・大月方面_平日[[#This Row],[発車時刻(Time)]]-$D192</f>
        <v>2.7777777777777679E-3</v>
      </c>
      <c r="V193" s="4">
        <f t="shared" si="2"/>
        <v>0.83722741433022108</v>
      </c>
    </row>
    <row r="194" spans="2:22" x14ac:dyDescent="0.2">
      <c r="B194" s="7" t="s">
        <v>55</v>
      </c>
      <c r="C194" s="1" t="s">
        <v>21</v>
      </c>
      <c r="D194" s="3">
        <v>0.71527777777777779</v>
      </c>
      <c r="E194" t="s">
        <v>36</v>
      </c>
      <c r="F194" s="1"/>
      <c r="G194" s="1"/>
      <c r="H194" s="6"/>
      <c r="U194" s="2">
        <f>中央線快速_八王子・大月方面_平日[[#This Row],[発車時刻(Time)]]-$D193</f>
        <v>2.7777777777777679E-3</v>
      </c>
      <c r="V194" s="4">
        <f t="shared" si="2"/>
        <v>0.83722741433022108</v>
      </c>
    </row>
    <row r="195" spans="2:22" x14ac:dyDescent="0.2">
      <c r="B195" s="7" t="s">
        <v>55</v>
      </c>
      <c r="C195" s="1" t="s">
        <v>21</v>
      </c>
      <c r="D195" s="3">
        <v>0.71805555555555556</v>
      </c>
      <c r="E195" t="s">
        <v>40</v>
      </c>
      <c r="F195" s="1"/>
      <c r="G195" s="1"/>
      <c r="H195" s="6"/>
      <c r="U195" s="2">
        <f>中央線快速_八王子・大月方面_平日[[#This Row],[発車時刻(Time)]]-$D194</f>
        <v>2.7777777777777679E-3</v>
      </c>
      <c r="V195" s="4">
        <f t="shared" si="2"/>
        <v>0.83722741433022108</v>
      </c>
    </row>
    <row r="196" spans="2:22" x14ac:dyDescent="0.2">
      <c r="B196" s="7" t="s">
        <v>55</v>
      </c>
      <c r="C196" s="1" t="s">
        <v>21</v>
      </c>
      <c r="D196" s="3">
        <v>0.71944444444444444</v>
      </c>
      <c r="E196" t="s">
        <v>44</v>
      </c>
      <c r="F196" s="1"/>
      <c r="G196" s="1"/>
      <c r="H196" s="6"/>
      <c r="U196" s="2">
        <f>中央線快速_八王子・大月方面_平日[[#This Row],[発車時刻(Time)]]-$D195</f>
        <v>1.388888888888884E-3</v>
      </c>
      <c r="V196" s="4">
        <f t="shared" ref="V196:V259" si="3">IFERROR((1/(U196/$K$16)), 0)</f>
        <v>1.6744548286604422</v>
      </c>
    </row>
    <row r="197" spans="2:22" x14ac:dyDescent="0.2">
      <c r="B197" s="7" t="s">
        <v>55</v>
      </c>
      <c r="C197" s="1" t="s">
        <v>21</v>
      </c>
      <c r="D197" s="3">
        <v>0.72152777777777777</v>
      </c>
      <c r="E197" t="s">
        <v>35</v>
      </c>
      <c r="F197" s="1"/>
      <c r="G197" s="1"/>
      <c r="H197" s="6"/>
      <c r="U197" s="2">
        <f>中央線快速_八王子・大月方面_平日[[#This Row],[発車時刻(Time)]]-$D196</f>
        <v>2.0833333333333259E-3</v>
      </c>
      <c r="V197" s="4">
        <f t="shared" si="3"/>
        <v>1.1163032191069615</v>
      </c>
    </row>
    <row r="198" spans="2:22" x14ac:dyDescent="0.2">
      <c r="B198" s="7" t="s">
        <v>55</v>
      </c>
      <c r="C198" s="1" t="s">
        <v>47</v>
      </c>
      <c r="D198" s="3">
        <v>0.72361111111111109</v>
      </c>
      <c r="E198" t="s">
        <v>35</v>
      </c>
      <c r="F198" s="1"/>
      <c r="G198" s="1"/>
      <c r="H198" s="6"/>
      <c r="U198" s="2">
        <f>中央線快速_八王子・大月方面_平日[[#This Row],[発車時刻(Time)]]-$D197</f>
        <v>2.0833333333333259E-3</v>
      </c>
      <c r="V198" s="4">
        <f t="shared" si="3"/>
        <v>1.1163032191069615</v>
      </c>
    </row>
    <row r="199" spans="2:22" x14ac:dyDescent="0.2">
      <c r="B199" s="7" t="s">
        <v>55</v>
      </c>
      <c r="C199" s="1" t="s">
        <v>21</v>
      </c>
      <c r="D199" s="3">
        <v>0.72569444444444453</v>
      </c>
      <c r="E199" t="s">
        <v>35</v>
      </c>
      <c r="F199" s="1"/>
      <c r="G199" s="1"/>
      <c r="H199" s="6"/>
      <c r="U199" s="2">
        <f>中央線快速_八王子・大月方面_平日[[#This Row],[発車時刻(Time)]]-$D198</f>
        <v>2.083333333333437E-3</v>
      </c>
      <c r="V199" s="4">
        <f t="shared" si="3"/>
        <v>1.116303219106902</v>
      </c>
    </row>
    <row r="200" spans="2:22" x14ac:dyDescent="0.2">
      <c r="B200" s="7" t="s">
        <v>55</v>
      </c>
      <c r="C200" s="1" t="s">
        <v>21</v>
      </c>
      <c r="D200" s="3">
        <v>0.7270833333333333</v>
      </c>
      <c r="E200" t="s">
        <v>43</v>
      </c>
      <c r="F200" s="1"/>
      <c r="G200" s="1"/>
      <c r="H200" s="6"/>
      <c r="U200" s="2">
        <f>中央線快速_八王子・大月方面_平日[[#This Row],[発車時刻(Time)]]-$D199</f>
        <v>1.3888888888887729E-3</v>
      </c>
      <c r="V200" s="4">
        <f t="shared" si="3"/>
        <v>1.674454828660576</v>
      </c>
    </row>
    <row r="201" spans="2:22" x14ac:dyDescent="0.2">
      <c r="B201" s="9" t="s">
        <v>37</v>
      </c>
      <c r="C201" s="1" t="s">
        <v>24</v>
      </c>
      <c r="D201" s="3">
        <v>0.72916666666666663</v>
      </c>
      <c r="E201" t="s">
        <v>38</v>
      </c>
      <c r="F201" s="1"/>
      <c r="G201" s="1" t="s">
        <v>39</v>
      </c>
      <c r="H201" s="6"/>
      <c r="U201" s="2">
        <f>中央線快速_八王子・大月方面_平日[[#This Row],[発車時刻(Time)]]-$D200</f>
        <v>2.0833333333333259E-3</v>
      </c>
      <c r="V201" s="4">
        <f t="shared" si="3"/>
        <v>1.1163032191069615</v>
      </c>
    </row>
    <row r="202" spans="2:22" x14ac:dyDescent="0.2">
      <c r="B202" s="7" t="s">
        <v>55</v>
      </c>
      <c r="C202" s="1" t="s">
        <v>21</v>
      </c>
      <c r="D202" s="3">
        <v>0.73055555555555562</v>
      </c>
      <c r="E202" t="s">
        <v>42</v>
      </c>
      <c r="F202" s="1"/>
      <c r="G202" s="1"/>
      <c r="H202" s="6"/>
      <c r="U202" s="2">
        <f>中央線快速_八王子・大月方面_平日[[#This Row],[発車時刻(Time)]]-$D201</f>
        <v>1.388888888888995E-3</v>
      </c>
      <c r="V202" s="4">
        <f t="shared" si="3"/>
        <v>1.6744548286603083</v>
      </c>
    </row>
    <row r="203" spans="2:22" x14ac:dyDescent="0.2">
      <c r="B203" s="7" t="s">
        <v>55</v>
      </c>
      <c r="C203" s="1" t="s">
        <v>47</v>
      </c>
      <c r="D203" s="3">
        <v>0.73333333333333339</v>
      </c>
      <c r="E203" t="s">
        <v>36</v>
      </c>
      <c r="F203" s="1"/>
      <c r="G203" s="1"/>
      <c r="H203" s="6"/>
      <c r="U203" s="2">
        <f>中央線快速_八王子・大月方面_平日[[#This Row],[発車時刻(Time)]]-$D202</f>
        <v>2.7777777777777679E-3</v>
      </c>
      <c r="V203" s="4">
        <f t="shared" si="3"/>
        <v>0.83722741433022108</v>
      </c>
    </row>
    <row r="204" spans="2:22" x14ac:dyDescent="0.2">
      <c r="B204" s="7" t="s">
        <v>55</v>
      </c>
      <c r="C204" s="1" t="s">
        <v>21</v>
      </c>
      <c r="D204" s="3">
        <v>0.73472222222222217</v>
      </c>
      <c r="E204" t="s">
        <v>36</v>
      </c>
      <c r="F204" s="1"/>
      <c r="G204" s="1"/>
      <c r="H204" s="6"/>
      <c r="U204" s="2">
        <f>中央線快速_八王子・大月方面_平日[[#This Row],[発車時刻(Time)]]-$D203</f>
        <v>1.3888888888887729E-3</v>
      </c>
      <c r="V204" s="4">
        <f t="shared" si="3"/>
        <v>1.674454828660576</v>
      </c>
    </row>
    <row r="205" spans="2:22" x14ac:dyDescent="0.2">
      <c r="B205" s="7" t="s">
        <v>55</v>
      </c>
      <c r="C205" s="1" t="s">
        <v>21</v>
      </c>
      <c r="D205" s="3">
        <v>0.73611111111111116</v>
      </c>
      <c r="E205" t="s">
        <v>35</v>
      </c>
      <c r="F205" s="1"/>
      <c r="G205" s="1"/>
      <c r="H205" s="6"/>
      <c r="U205" s="2">
        <f>中央線快速_八王子・大月方面_平日[[#This Row],[発車時刻(Time)]]-$D204</f>
        <v>1.388888888888995E-3</v>
      </c>
      <c r="V205" s="4">
        <f t="shared" si="3"/>
        <v>1.6744548286603083</v>
      </c>
    </row>
    <row r="206" spans="2:22" x14ac:dyDescent="0.2">
      <c r="B206" s="7" t="s">
        <v>55</v>
      </c>
      <c r="C206" s="1" t="s">
        <v>21</v>
      </c>
      <c r="D206" s="3">
        <v>0.73819444444444438</v>
      </c>
      <c r="E206" t="s">
        <v>40</v>
      </c>
      <c r="F206" s="1"/>
      <c r="G206" s="1"/>
      <c r="H206" s="6"/>
      <c r="U206" s="2">
        <f>中央線快速_八王子・大月方面_平日[[#This Row],[発車時刻(Time)]]-$D205</f>
        <v>2.0833333333332149E-3</v>
      </c>
      <c r="V206" s="4">
        <f t="shared" si="3"/>
        <v>1.1163032191070208</v>
      </c>
    </row>
    <row r="207" spans="2:22" x14ac:dyDescent="0.2">
      <c r="B207" s="7" t="s">
        <v>55</v>
      </c>
      <c r="C207" s="1" t="s">
        <v>47</v>
      </c>
      <c r="D207" s="3">
        <v>0.7402777777777777</v>
      </c>
      <c r="E207" t="s">
        <v>35</v>
      </c>
      <c r="F207" s="1"/>
      <c r="G207" s="1"/>
      <c r="H207" s="6"/>
      <c r="U207" s="2">
        <f>中央線快速_八王子・大月方面_平日[[#This Row],[発車時刻(Time)]]-$D206</f>
        <v>2.0833333333333259E-3</v>
      </c>
      <c r="V207" s="4">
        <f t="shared" si="3"/>
        <v>1.1163032191069615</v>
      </c>
    </row>
    <row r="208" spans="2:22" x14ac:dyDescent="0.2">
      <c r="B208" s="7" t="s">
        <v>55</v>
      </c>
      <c r="C208" s="1" t="s">
        <v>21</v>
      </c>
      <c r="D208" s="3">
        <v>0.74236111111111114</v>
      </c>
      <c r="E208" t="s">
        <v>42</v>
      </c>
      <c r="F208" s="1"/>
      <c r="G208" s="1"/>
      <c r="H208" s="6"/>
      <c r="U208" s="2">
        <f>中央線快速_八王子・大月方面_平日[[#This Row],[発車時刻(Time)]]-$D207</f>
        <v>2.083333333333437E-3</v>
      </c>
      <c r="V208" s="4">
        <f t="shared" si="3"/>
        <v>1.116303219106902</v>
      </c>
    </row>
    <row r="209" spans="2:22" x14ac:dyDescent="0.2">
      <c r="B209" s="7" t="s">
        <v>55</v>
      </c>
      <c r="C209" s="1" t="s">
        <v>21</v>
      </c>
      <c r="D209" s="3">
        <v>0.74375000000000002</v>
      </c>
      <c r="E209" t="s">
        <v>35</v>
      </c>
      <c r="F209" s="1"/>
      <c r="G209" s="1"/>
      <c r="H209" s="6"/>
      <c r="U209" s="2">
        <f>中央線快速_八王子・大月方面_平日[[#This Row],[発車時刻(Time)]]-$D208</f>
        <v>1.388888888888884E-3</v>
      </c>
      <c r="V209" s="4">
        <f t="shared" si="3"/>
        <v>1.6744548286604422</v>
      </c>
    </row>
    <row r="210" spans="2:22" x14ac:dyDescent="0.2">
      <c r="B210" s="7" t="s">
        <v>55</v>
      </c>
      <c r="C210" s="1" t="s">
        <v>21</v>
      </c>
      <c r="D210" s="3">
        <v>0.74583333333333324</v>
      </c>
      <c r="E210" t="s">
        <v>35</v>
      </c>
      <c r="F210" s="1"/>
      <c r="G210" s="1"/>
      <c r="H210" s="6"/>
      <c r="U210" s="2">
        <f>中央線快速_八王子・大月方面_平日[[#This Row],[発車時刻(Time)]]-$D209</f>
        <v>2.0833333333332149E-3</v>
      </c>
      <c r="V210" s="4">
        <f t="shared" si="3"/>
        <v>1.1163032191070208</v>
      </c>
    </row>
    <row r="211" spans="2:22" x14ac:dyDescent="0.2">
      <c r="B211" s="7" t="s">
        <v>55</v>
      </c>
      <c r="C211" s="1" t="s">
        <v>21</v>
      </c>
      <c r="D211" s="3">
        <v>0.74861111111111101</v>
      </c>
      <c r="E211" t="s">
        <v>36</v>
      </c>
      <c r="F211" s="1"/>
      <c r="G211" s="1"/>
      <c r="H211" s="6"/>
      <c r="U211" s="2">
        <f>中央線快速_八王子・大月方面_平日[[#This Row],[発車時刻(Time)]]-$D210</f>
        <v>2.7777777777777679E-3</v>
      </c>
      <c r="V211" s="4">
        <f t="shared" si="3"/>
        <v>0.83722741433022108</v>
      </c>
    </row>
    <row r="212" spans="2:22" x14ac:dyDescent="0.2">
      <c r="B212" s="7" t="s">
        <v>55</v>
      </c>
      <c r="C212" s="1" t="s">
        <v>21</v>
      </c>
      <c r="D212" s="3">
        <v>0.75138888888888899</v>
      </c>
      <c r="E212" t="s">
        <v>45</v>
      </c>
      <c r="F212" s="1"/>
      <c r="G212" s="1"/>
      <c r="H212" s="6"/>
      <c r="U212" s="2">
        <f>中央線快速_八王子・大月方面_平日[[#This Row],[発車時刻(Time)]]-$D211</f>
        <v>2.77777777777799E-3</v>
      </c>
      <c r="V212" s="4">
        <f t="shared" si="3"/>
        <v>0.83722741433015413</v>
      </c>
    </row>
    <row r="213" spans="2:22" x14ac:dyDescent="0.2">
      <c r="B213" s="7" t="s">
        <v>55</v>
      </c>
      <c r="C213" s="1" t="s">
        <v>21</v>
      </c>
      <c r="D213" s="3">
        <v>0.75277777777777777</v>
      </c>
      <c r="E213" t="s">
        <v>42</v>
      </c>
      <c r="F213" s="1"/>
      <c r="G213" s="1"/>
      <c r="H213" s="6"/>
      <c r="U213" s="2">
        <f>中央線快速_八王子・大月方面_平日[[#This Row],[発車時刻(Time)]]-$D212</f>
        <v>1.3888888888887729E-3</v>
      </c>
      <c r="V213" s="4">
        <f t="shared" si="3"/>
        <v>1.674454828660576</v>
      </c>
    </row>
    <row r="214" spans="2:22" x14ac:dyDescent="0.2">
      <c r="B214" s="7" t="s">
        <v>55</v>
      </c>
      <c r="C214" s="1" t="s">
        <v>47</v>
      </c>
      <c r="D214" s="3">
        <v>0.75486111111111109</v>
      </c>
      <c r="E214" t="s">
        <v>35</v>
      </c>
      <c r="F214" s="1"/>
      <c r="G214" s="1"/>
      <c r="H214" s="6"/>
      <c r="U214" s="2">
        <f>中央線快速_八王子・大月方面_平日[[#This Row],[発車時刻(Time)]]-$D213</f>
        <v>2.0833333333333259E-3</v>
      </c>
      <c r="V214" s="4">
        <f t="shared" si="3"/>
        <v>1.1163032191069615</v>
      </c>
    </row>
    <row r="215" spans="2:22" x14ac:dyDescent="0.2">
      <c r="B215" s="7" t="s">
        <v>55</v>
      </c>
      <c r="C215" s="1" t="s">
        <v>21</v>
      </c>
      <c r="D215" s="3">
        <v>0.75624999999999998</v>
      </c>
      <c r="E215" t="s">
        <v>35</v>
      </c>
      <c r="F215" s="1"/>
      <c r="G215" s="1"/>
      <c r="H215" s="6"/>
      <c r="U215" s="2">
        <f>中央線快速_八王子・大月方面_平日[[#This Row],[発車時刻(Time)]]-$D214</f>
        <v>1.388888888888884E-3</v>
      </c>
      <c r="V215" s="4">
        <f t="shared" si="3"/>
        <v>1.6744548286604422</v>
      </c>
    </row>
    <row r="216" spans="2:22" x14ac:dyDescent="0.2">
      <c r="B216" s="7" t="s">
        <v>55</v>
      </c>
      <c r="C216" s="1" t="s">
        <v>21</v>
      </c>
      <c r="D216" s="3">
        <v>0.75763888888888886</v>
      </c>
      <c r="E216" t="s">
        <v>42</v>
      </c>
      <c r="F216" s="1"/>
      <c r="G216" s="1"/>
      <c r="H216" s="6"/>
      <c r="U216" s="2">
        <f>中央線快速_八王子・大月方面_平日[[#This Row],[発車時刻(Time)]]-$D215</f>
        <v>1.388888888888884E-3</v>
      </c>
      <c r="V216" s="4">
        <f t="shared" si="3"/>
        <v>1.6744548286604422</v>
      </c>
    </row>
    <row r="217" spans="2:22" x14ac:dyDescent="0.2">
      <c r="B217" s="7" t="s">
        <v>55</v>
      </c>
      <c r="C217" s="1" t="s">
        <v>21</v>
      </c>
      <c r="D217" s="3">
        <v>0.75763888888888886</v>
      </c>
      <c r="E217" t="s">
        <v>48</v>
      </c>
      <c r="F217" s="1"/>
      <c r="G217" s="1"/>
      <c r="H217" s="6"/>
      <c r="U217" s="2">
        <f>中央線快速_八王子・大月方面_平日[[#This Row],[発車時刻(Time)]]-$D216</f>
        <v>0</v>
      </c>
      <c r="V217" s="4">
        <f t="shared" si="3"/>
        <v>0</v>
      </c>
    </row>
    <row r="218" spans="2:22" x14ac:dyDescent="0.2">
      <c r="B218" s="9" t="s">
        <v>37</v>
      </c>
      <c r="C218" s="1" t="s">
        <v>49</v>
      </c>
      <c r="D218" s="3">
        <v>0.76041666666666663</v>
      </c>
      <c r="E218" t="s">
        <v>36</v>
      </c>
      <c r="F218" s="1"/>
      <c r="G218" s="1"/>
      <c r="H218" s="6"/>
      <c r="U218" s="2">
        <f>中央線快速_八王子・大月方面_平日[[#This Row],[発車時刻(Time)]]-$D217</f>
        <v>2.7777777777777679E-3</v>
      </c>
      <c r="V218" s="4">
        <f t="shared" si="3"/>
        <v>0.83722741433022108</v>
      </c>
    </row>
    <row r="219" spans="2:22" x14ac:dyDescent="0.2">
      <c r="B219" s="7" t="s">
        <v>55</v>
      </c>
      <c r="C219" s="1" t="s">
        <v>21</v>
      </c>
      <c r="D219" s="3">
        <v>0.76180555555555562</v>
      </c>
      <c r="E219" t="s">
        <v>43</v>
      </c>
      <c r="F219" s="1"/>
      <c r="G219" s="1"/>
      <c r="H219" s="6"/>
      <c r="U219" s="2">
        <f>中央線快速_八王子・大月方面_平日[[#This Row],[発車時刻(Time)]]-$D218</f>
        <v>1.388888888888995E-3</v>
      </c>
      <c r="V219" s="4">
        <f t="shared" si="3"/>
        <v>1.6744548286603083</v>
      </c>
    </row>
    <row r="220" spans="2:22" x14ac:dyDescent="0.2">
      <c r="B220" s="7" t="s">
        <v>55</v>
      </c>
      <c r="C220" s="1" t="s">
        <v>21</v>
      </c>
      <c r="D220" s="3">
        <v>0.76388888888888884</v>
      </c>
      <c r="E220" t="s">
        <v>35</v>
      </c>
      <c r="F220" s="1"/>
      <c r="G220" s="1"/>
      <c r="H220" s="6"/>
      <c r="U220" s="2">
        <f>中央線快速_八王子・大月方面_平日[[#This Row],[発車時刻(Time)]]-$D219</f>
        <v>2.0833333333332149E-3</v>
      </c>
      <c r="V220" s="4">
        <f t="shared" si="3"/>
        <v>1.1163032191070208</v>
      </c>
    </row>
    <row r="221" spans="2:22" x14ac:dyDescent="0.2">
      <c r="B221" s="7" t="s">
        <v>55</v>
      </c>
      <c r="C221" s="1" t="s">
        <v>47</v>
      </c>
      <c r="D221" s="3">
        <v>0.76597222222222217</v>
      </c>
      <c r="E221" t="s">
        <v>50</v>
      </c>
      <c r="F221" s="1"/>
      <c r="G221" s="1"/>
      <c r="H221" s="6"/>
      <c r="U221" s="2">
        <f>中央線快速_八王子・大月方面_平日[[#This Row],[発車時刻(Time)]]-$D220</f>
        <v>2.0833333333333259E-3</v>
      </c>
      <c r="V221" s="4">
        <f t="shared" si="3"/>
        <v>1.1163032191069615</v>
      </c>
    </row>
    <row r="222" spans="2:22" x14ac:dyDescent="0.2">
      <c r="B222" s="7" t="s">
        <v>55</v>
      </c>
      <c r="C222" s="1" t="s">
        <v>21</v>
      </c>
      <c r="D222" s="3">
        <v>0.76736111111111116</v>
      </c>
      <c r="E222" t="s">
        <v>42</v>
      </c>
      <c r="F222" s="1"/>
      <c r="G222" s="1"/>
      <c r="H222" s="6"/>
      <c r="U222" s="2">
        <f>中央線快速_八王子・大月方面_平日[[#This Row],[発車時刻(Time)]]-$D221</f>
        <v>1.388888888888995E-3</v>
      </c>
      <c r="V222" s="4">
        <f t="shared" si="3"/>
        <v>1.6744548286603083</v>
      </c>
    </row>
    <row r="223" spans="2:22" x14ac:dyDescent="0.2">
      <c r="B223" s="7" t="s">
        <v>55</v>
      </c>
      <c r="C223" s="1" t="s">
        <v>21</v>
      </c>
      <c r="D223" s="3">
        <v>0.76874999999999993</v>
      </c>
      <c r="E223" t="s">
        <v>36</v>
      </c>
      <c r="F223" s="1"/>
      <c r="G223" s="1"/>
      <c r="H223" s="6"/>
      <c r="U223" s="2">
        <f>中央線快速_八王子・大月方面_平日[[#This Row],[発車時刻(Time)]]-$D222</f>
        <v>1.3888888888887729E-3</v>
      </c>
      <c r="V223" s="4">
        <f t="shared" si="3"/>
        <v>1.674454828660576</v>
      </c>
    </row>
    <row r="224" spans="2:22" x14ac:dyDescent="0.2">
      <c r="B224" s="9" t="s">
        <v>37</v>
      </c>
      <c r="C224" s="1" t="s">
        <v>24</v>
      </c>
      <c r="D224" s="3">
        <v>0.77083333333333337</v>
      </c>
      <c r="E224" t="s">
        <v>51</v>
      </c>
      <c r="F224" s="1"/>
      <c r="G224" s="1" t="s">
        <v>39</v>
      </c>
      <c r="H224" s="6"/>
      <c r="U224" s="2">
        <f>中央線快速_八王子・大月方面_平日[[#This Row],[発車時刻(Time)]]-$D223</f>
        <v>2.083333333333437E-3</v>
      </c>
      <c r="V224" s="4">
        <f t="shared" si="3"/>
        <v>1.116303219106902</v>
      </c>
    </row>
    <row r="225" spans="2:22" x14ac:dyDescent="0.2">
      <c r="B225" s="7" t="s">
        <v>55</v>
      </c>
      <c r="C225" s="1" t="s">
        <v>21</v>
      </c>
      <c r="D225" s="3">
        <v>0.77222222222222225</v>
      </c>
      <c r="E225" t="s">
        <v>44</v>
      </c>
      <c r="F225" s="1"/>
      <c r="G225" s="1"/>
      <c r="H225" s="6"/>
      <c r="U225" s="2">
        <f>中央線快速_八王子・大月方面_平日[[#This Row],[発車時刻(Time)]]-$D224</f>
        <v>1.388888888888884E-3</v>
      </c>
      <c r="V225" s="4">
        <f t="shared" si="3"/>
        <v>1.6744548286604422</v>
      </c>
    </row>
    <row r="226" spans="2:22" x14ac:dyDescent="0.2">
      <c r="B226" s="7" t="s">
        <v>55</v>
      </c>
      <c r="C226" s="1" t="s">
        <v>21</v>
      </c>
      <c r="D226" s="3">
        <v>0.77430555555555547</v>
      </c>
      <c r="E226" t="s">
        <v>43</v>
      </c>
      <c r="F226" s="1"/>
      <c r="G226" s="1"/>
      <c r="H226" s="6"/>
      <c r="U226" s="2">
        <f>中央線快速_八王子・大月方面_平日[[#This Row],[発車時刻(Time)]]-$D225</f>
        <v>2.0833333333332149E-3</v>
      </c>
      <c r="V226" s="4">
        <f t="shared" si="3"/>
        <v>1.1163032191070208</v>
      </c>
    </row>
    <row r="227" spans="2:22" x14ac:dyDescent="0.2">
      <c r="B227" s="7" t="s">
        <v>55</v>
      </c>
      <c r="C227" s="1" t="s">
        <v>47</v>
      </c>
      <c r="D227" s="3">
        <v>0.77569444444444446</v>
      </c>
      <c r="E227" t="s">
        <v>35</v>
      </c>
      <c r="F227" s="1"/>
      <c r="G227" s="1"/>
      <c r="H227" s="6"/>
      <c r="U227" s="2">
        <f>中央線快速_八王子・大月方面_平日[[#This Row],[発車時刻(Time)]]-$D226</f>
        <v>1.388888888888995E-3</v>
      </c>
      <c r="V227" s="4">
        <f t="shared" si="3"/>
        <v>1.6744548286603083</v>
      </c>
    </row>
    <row r="228" spans="2:22" x14ac:dyDescent="0.2">
      <c r="B228" s="7" t="s">
        <v>55</v>
      </c>
      <c r="C228" s="1" t="s">
        <v>21</v>
      </c>
      <c r="D228" s="3">
        <v>0.77708333333333324</v>
      </c>
      <c r="E228" t="s">
        <v>36</v>
      </c>
      <c r="F228" s="1"/>
      <c r="G228" s="1"/>
      <c r="H228" s="6"/>
      <c r="U228" s="2">
        <f>中央線快速_八王子・大月方面_平日[[#This Row],[発車時刻(Time)]]-$D227</f>
        <v>1.3888888888887729E-3</v>
      </c>
      <c r="V228" s="4">
        <f t="shared" si="3"/>
        <v>1.674454828660576</v>
      </c>
    </row>
    <row r="229" spans="2:22" x14ac:dyDescent="0.2">
      <c r="B229" s="7" t="s">
        <v>55</v>
      </c>
      <c r="C229" s="1" t="s">
        <v>21</v>
      </c>
      <c r="D229" s="3">
        <v>0.77916666666666667</v>
      </c>
      <c r="E229" t="s">
        <v>43</v>
      </c>
      <c r="F229" s="1"/>
      <c r="G229" s="1"/>
      <c r="H229" s="6"/>
      <c r="U229" s="2">
        <f>中央線快速_八王子・大月方面_平日[[#This Row],[発車時刻(Time)]]-$D228</f>
        <v>2.083333333333437E-3</v>
      </c>
      <c r="V229" s="4">
        <f t="shared" si="3"/>
        <v>1.116303219106902</v>
      </c>
    </row>
    <row r="230" spans="2:22" x14ac:dyDescent="0.2">
      <c r="B230" s="9" t="s">
        <v>37</v>
      </c>
      <c r="C230" s="1" t="s">
        <v>49</v>
      </c>
      <c r="D230" s="3">
        <v>0.78125</v>
      </c>
      <c r="E230" t="s">
        <v>35</v>
      </c>
      <c r="F230" s="1"/>
      <c r="G230" s="1"/>
      <c r="H230" s="6"/>
      <c r="U230" s="2">
        <f>中央線快速_八王子・大月方面_平日[[#This Row],[発車時刻(Time)]]-$D229</f>
        <v>2.0833333333333259E-3</v>
      </c>
      <c r="V230" s="4">
        <f t="shared" si="3"/>
        <v>1.1163032191069615</v>
      </c>
    </row>
    <row r="231" spans="2:22" x14ac:dyDescent="0.2">
      <c r="B231" s="7" t="s">
        <v>55</v>
      </c>
      <c r="C231" s="1" t="s">
        <v>21</v>
      </c>
      <c r="D231" s="3">
        <v>0.78263888888888899</v>
      </c>
      <c r="E231" t="s">
        <v>40</v>
      </c>
      <c r="F231" s="1"/>
      <c r="G231" s="1"/>
      <c r="H231" s="6"/>
      <c r="U231" s="2">
        <f>中央線快速_八王子・大月方面_平日[[#This Row],[発車時刻(Time)]]-$D230</f>
        <v>1.388888888888995E-3</v>
      </c>
      <c r="V231" s="4">
        <f t="shared" si="3"/>
        <v>1.6744548286603083</v>
      </c>
    </row>
    <row r="232" spans="2:22" x14ac:dyDescent="0.2">
      <c r="B232" s="7" t="s">
        <v>55</v>
      </c>
      <c r="C232" s="1" t="s">
        <v>47</v>
      </c>
      <c r="D232" s="3">
        <v>0.78472222222222221</v>
      </c>
      <c r="E232" t="s">
        <v>35</v>
      </c>
      <c r="F232" s="1"/>
      <c r="G232" s="1"/>
      <c r="H232" s="6"/>
      <c r="U232" s="2">
        <f>中央線快速_八王子・大月方面_平日[[#This Row],[発車時刻(Time)]]-$D231</f>
        <v>2.0833333333332149E-3</v>
      </c>
      <c r="V232" s="4">
        <f t="shared" si="3"/>
        <v>1.1163032191070208</v>
      </c>
    </row>
    <row r="233" spans="2:22" x14ac:dyDescent="0.2">
      <c r="B233" s="7" t="s">
        <v>55</v>
      </c>
      <c r="C233" s="1" t="s">
        <v>21</v>
      </c>
      <c r="D233" s="3">
        <v>0.78611111111111109</v>
      </c>
      <c r="E233" t="s">
        <v>35</v>
      </c>
      <c r="F233" s="1"/>
      <c r="G233" s="1"/>
      <c r="H233" s="6"/>
      <c r="U233" s="2">
        <f>中央線快速_八王子・大月方面_平日[[#This Row],[発車時刻(Time)]]-$D232</f>
        <v>1.388888888888884E-3</v>
      </c>
      <c r="V233" s="4">
        <f t="shared" si="3"/>
        <v>1.6744548286604422</v>
      </c>
    </row>
    <row r="234" spans="2:22" x14ac:dyDescent="0.2">
      <c r="B234" s="7" t="s">
        <v>55</v>
      </c>
      <c r="C234" s="1" t="s">
        <v>21</v>
      </c>
      <c r="D234" s="3">
        <v>0.78888888888888886</v>
      </c>
      <c r="E234" t="s">
        <v>36</v>
      </c>
      <c r="F234" s="1"/>
      <c r="G234" s="1"/>
      <c r="H234" s="6"/>
      <c r="U234" s="2">
        <f>中央線快速_八王子・大月方面_平日[[#This Row],[発車時刻(Time)]]-$D233</f>
        <v>2.7777777777777679E-3</v>
      </c>
      <c r="V234" s="4">
        <f t="shared" si="3"/>
        <v>0.83722741433022108</v>
      </c>
    </row>
    <row r="235" spans="2:22" x14ac:dyDescent="0.2">
      <c r="B235" s="9" t="s">
        <v>37</v>
      </c>
      <c r="C235" s="1" t="s">
        <v>24</v>
      </c>
      <c r="D235" s="3">
        <v>0.79166666666666663</v>
      </c>
      <c r="E235" t="s">
        <v>38</v>
      </c>
      <c r="F235" s="1"/>
      <c r="G235" s="1" t="s">
        <v>39</v>
      </c>
      <c r="H235" s="6"/>
      <c r="U235" s="2">
        <f>中央線快速_八王子・大月方面_平日[[#This Row],[発車時刻(Time)]]-$D234</f>
        <v>2.7777777777777679E-3</v>
      </c>
      <c r="V235" s="4">
        <f t="shared" si="3"/>
        <v>0.83722741433022108</v>
      </c>
    </row>
    <row r="236" spans="2:22" x14ac:dyDescent="0.2">
      <c r="B236" s="7" t="s">
        <v>55</v>
      </c>
      <c r="C236" s="1" t="s">
        <v>21</v>
      </c>
      <c r="D236" s="3">
        <v>0.79236111111111107</v>
      </c>
      <c r="E236" t="s">
        <v>36</v>
      </c>
      <c r="F236" s="1"/>
      <c r="G236" s="1"/>
      <c r="H236" s="6"/>
      <c r="U236" s="2">
        <f>中央線快速_八王子・大月方面_平日[[#This Row],[発車時刻(Time)]]-$D235</f>
        <v>6.9444444444444198E-4</v>
      </c>
      <c r="V236" s="4">
        <f t="shared" si="3"/>
        <v>3.3489096573208843</v>
      </c>
    </row>
    <row r="237" spans="2:22" x14ac:dyDescent="0.2">
      <c r="B237" s="7" t="s">
        <v>55</v>
      </c>
      <c r="C237" s="1" t="s">
        <v>21</v>
      </c>
      <c r="D237" s="3">
        <v>0.79513888888888884</v>
      </c>
      <c r="E237" t="s">
        <v>35</v>
      </c>
      <c r="F237" s="1"/>
      <c r="G237" s="1"/>
      <c r="H237" s="6"/>
      <c r="U237" s="2">
        <f>中央線快速_八王子・大月方面_平日[[#This Row],[発車時刻(Time)]]-$D236</f>
        <v>2.7777777777777679E-3</v>
      </c>
      <c r="V237" s="4">
        <f t="shared" si="3"/>
        <v>0.83722741433022108</v>
      </c>
    </row>
    <row r="238" spans="2:22" x14ac:dyDescent="0.2">
      <c r="B238" s="7" t="s">
        <v>55</v>
      </c>
      <c r="C238" s="1" t="s">
        <v>47</v>
      </c>
      <c r="D238" s="3">
        <v>0.79722222222222217</v>
      </c>
      <c r="E238" t="s">
        <v>45</v>
      </c>
      <c r="F238" s="1"/>
      <c r="G238" s="1"/>
      <c r="H238" s="6"/>
      <c r="U238" s="2">
        <f>中央線快速_八王子・大月方面_平日[[#This Row],[発車時刻(Time)]]-$D237</f>
        <v>2.0833333333333259E-3</v>
      </c>
      <c r="V238" s="4">
        <f t="shared" si="3"/>
        <v>1.1163032191069615</v>
      </c>
    </row>
    <row r="239" spans="2:22" x14ac:dyDescent="0.2">
      <c r="B239" s="7" t="s">
        <v>55</v>
      </c>
      <c r="C239" s="1" t="s">
        <v>21</v>
      </c>
      <c r="D239" s="3">
        <v>0.7993055555555556</v>
      </c>
      <c r="E239" t="s">
        <v>35</v>
      </c>
      <c r="F239" s="1"/>
      <c r="G239" s="1"/>
      <c r="H239" s="6"/>
      <c r="U239" s="2">
        <f>中央線快速_八王子・大月方面_平日[[#This Row],[発車時刻(Time)]]-$D238</f>
        <v>2.083333333333437E-3</v>
      </c>
      <c r="V239" s="4">
        <f t="shared" si="3"/>
        <v>1.116303219106902</v>
      </c>
    </row>
    <row r="240" spans="2:22" x14ac:dyDescent="0.2">
      <c r="B240" s="9" t="s">
        <v>37</v>
      </c>
      <c r="C240" s="1" t="s">
        <v>49</v>
      </c>
      <c r="D240" s="3">
        <v>0.80208333333333337</v>
      </c>
      <c r="E240" t="s">
        <v>35</v>
      </c>
      <c r="F240" s="1"/>
      <c r="G240" s="1"/>
      <c r="H240" s="6"/>
      <c r="U240" s="2">
        <f>中央線快速_八王子・大月方面_平日[[#This Row],[発車時刻(Time)]]-$D239</f>
        <v>2.7777777777777679E-3</v>
      </c>
      <c r="V240" s="4">
        <f t="shared" si="3"/>
        <v>0.83722741433022108</v>
      </c>
    </row>
    <row r="241" spans="2:22" x14ac:dyDescent="0.2">
      <c r="B241" s="7" t="s">
        <v>55</v>
      </c>
      <c r="C241" s="1" t="s">
        <v>21</v>
      </c>
      <c r="D241" s="3">
        <v>0.8027777777777777</v>
      </c>
      <c r="E241" t="s">
        <v>36</v>
      </c>
      <c r="F241" s="1"/>
      <c r="G241" s="1"/>
      <c r="H241" s="6"/>
      <c r="U241" s="2">
        <f>中央線快速_八王子・大月方面_平日[[#This Row],[発車時刻(Time)]]-$D240</f>
        <v>6.9444444444433095E-4</v>
      </c>
      <c r="V241" s="4">
        <f t="shared" si="3"/>
        <v>3.3489096573214199</v>
      </c>
    </row>
    <row r="242" spans="2:22" x14ac:dyDescent="0.2">
      <c r="B242" s="7" t="s">
        <v>55</v>
      </c>
      <c r="C242" s="1" t="s">
        <v>21</v>
      </c>
      <c r="D242" s="3">
        <v>0.8041666666666667</v>
      </c>
      <c r="E242" t="s">
        <v>35</v>
      </c>
      <c r="F242" s="1"/>
      <c r="G242" s="1"/>
      <c r="H242" s="6"/>
      <c r="U242" s="2">
        <f>中央線快速_八王子・大月方面_平日[[#This Row],[発車時刻(Time)]]-$D241</f>
        <v>1.388888888888995E-3</v>
      </c>
      <c r="V242" s="4">
        <f t="shared" si="3"/>
        <v>1.6744548286603083</v>
      </c>
    </row>
    <row r="243" spans="2:22" x14ac:dyDescent="0.2">
      <c r="B243" s="7" t="s">
        <v>55</v>
      </c>
      <c r="C243" s="1" t="s">
        <v>21</v>
      </c>
      <c r="D243" s="3">
        <v>0.80625000000000002</v>
      </c>
      <c r="E243" t="s">
        <v>36</v>
      </c>
      <c r="F243" s="1"/>
      <c r="G243" s="1"/>
      <c r="H243" s="6"/>
      <c r="U243" s="2">
        <f>中央線快速_八王子・大月方面_平日[[#This Row],[発車時刻(Time)]]-$D242</f>
        <v>2.0833333333333259E-3</v>
      </c>
      <c r="V243" s="4">
        <f t="shared" si="3"/>
        <v>1.1163032191069615</v>
      </c>
    </row>
    <row r="244" spans="2:22" x14ac:dyDescent="0.2">
      <c r="B244" s="7" t="s">
        <v>55</v>
      </c>
      <c r="C244" s="1" t="s">
        <v>47</v>
      </c>
      <c r="D244" s="3">
        <v>0.80833333333333324</v>
      </c>
      <c r="E244" t="s">
        <v>50</v>
      </c>
      <c r="F244" s="1"/>
      <c r="G244" s="1"/>
      <c r="H244" s="6"/>
      <c r="U244" s="2">
        <f>中央線快速_八王子・大月方面_平日[[#This Row],[発車時刻(Time)]]-$D243</f>
        <v>2.0833333333332149E-3</v>
      </c>
      <c r="V244" s="4">
        <f t="shared" si="3"/>
        <v>1.1163032191070208</v>
      </c>
    </row>
    <row r="245" spans="2:22" x14ac:dyDescent="0.2">
      <c r="B245" s="7" t="s">
        <v>55</v>
      </c>
      <c r="C245" s="1" t="s">
        <v>21</v>
      </c>
      <c r="D245" s="3">
        <v>0.81041666666666667</v>
      </c>
      <c r="E245" t="s">
        <v>42</v>
      </c>
      <c r="F245" s="1"/>
      <c r="G245" s="1"/>
      <c r="H245" s="6"/>
      <c r="U245" s="2">
        <f>中央線快速_八王子・大月方面_平日[[#This Row],[発車時刻(Time)]]-$D244</f>
        <v>2.083333333333437E-3</v>
      </c>
      <c r="V245" s="4">
        <f t="shared" si="3"/>
        <v>1.116303219106902</v>
      </c>
    </row>
    <row r="246" spans="2:22" x14ac:dyDescent="0.2">
      <c r="B246" s="7" t="s">
        <v>55</v>
      </c>
      <c r="C246" s="1" t="s">
        <v>21</v>
      </c>
      <c r="D246" s="3">
        <v>0.81041666666666667</v>
      </c>
      <c r="E246" t="s">
        <v>52</v>
      </c>
      <c r="F246" s="1"/>
      <c r="G246" s="1"/>
      <c r="H246" s="6"/>
      <c r="U246" s="2">
        <f>中央線快速_八王子・大月方面_平日[[#This Row],[発車時刻(Time)]]-$D245</f>
        <v>0</v>
      </c>
      <c r="V246" s="4">
        <f t="shared" si="3"/>
        <v>0</v>
      </c>
    </row>
    <row r="247" spans="2:22" x14ac:dyDescent="0.2">
      <c r="B247" s="9" t="s">
        <v>37</v>
      </c>
      <c r="C247" s="1" t="s">
        <v>24</v>
      </c>
      <c r="D247" s="3">
        <v>0.8125</v>
      </c>
      <c r="E247" t="s">
        <v>51</v>
      </c>
      <c r="F247" s="1"/>
      <c r="G247" s="1" t="s">
        <v>39</v>
      </c>
      <c r="H247" s="6"/>
      <c r="U247" s="2">
        <f>中央線快速_八王子・大月方面_平日[[#This Row],[発車時刻(Time)]]-$D246</f>
        <v>2.0833333333333259E-3</v>
      </c>
      <c r="V247" s="4">
        <f t="shared" si="3"/>
        <v>1.1163032191069615</v>
      </c>
    </row>
    <row r="248" spans="2:22" x14ac:dyDescent="0.2">
      <c r="B248" s="7" t="s">
        <v>55</v>
      </c>
      <c r="C248" s="1" t="s">
        <v>21</v>
      </c>
      <c r="D248" s="3">
        <v>0.81388888888888899</v>
      </c>
      <c r="E248" t="s">
        <v>40</v>
      </c>
      <c r="F248" s="1"/>
      <c r="G248" s="1"/>
      <c r="H248" s="6"/>
      <c r="U248" s="2">
        <f>中央線快速_八王子・大月方面_平日[[#This Row],[発車時刻(Time)]]-$D247</f>
        <v>1.388888888888995E-3</v>
      </c>
      <c r="V248" s="4">
        <f t="shared" si="3"/>
        <v>1.6744548286603083</v>
      </c>
    </row>
    <row r="249" spans="2:22" x14ac:dyDescent="0.2">
      <c r="B249" s="7" t="s">
        <v>55</v>
      </c>
      <c r="C249" s="1" t="s">
        <v>21</v>
      </c>
      <c r="D249" s="3">
        <v>0.81666666666666676</v>
      </c>
      <c r="E249" t="s">
        <v>43</v>
      </c>
      <c r="F249" s="1"/>
      <c r="G249" s="1"/>
      <c r="H249" s="6"/>
      <c r="U249" s="2">
        <f>中央線快速_八王子・大月方面_平日[[#This Row],[発車時刻(Time)]]-$D248</f>
        <v>2.7777777777777679E-3</v>
      </c>
      <c r="V249" s="4">
        <f t="shared" si="3"/>
        <v>0.83722741433022108</v>
      </c>
    </row>
    <row r="250" spans="2:22" x14ac:dyDescent="0.2">
      <c r="B250" s="7" t="s">
        <v>55</v>
      </c>
      <c r="C250" s="1" t="s">
        <v>47</v>
      </c>
      <c r="D250" s="3">
        <v>0.81874999999999998</v>
      </c>
      <c r="E250" t="s">
        <v>35</v>
      </c>
      <c r="F250" s="1"/>
      <c r="G250" s="1"/>
      <c r="H250" s="6"/>
      <c r="U250" s="2">
        <f>中央線快速_八王子・大月方面_平日[[#This Row],[発車時刻(Time)]]-$D249</f>
        <v>2.0833333333332149E-3</v>
      </c>
      <c r="V250" s="4">
        <f t="shared" si="3"/>
        <v>1.1163032191070208</v>
      </c>
    </row>
    <row r="251" spans="2:22" x14ac:dyDescent="0.2">
      <c r="B251" s="7" t="s">
        <v>55</v>
      </c>
      <c r="C251" s="1" t="s">
        <v>21</v>
      </c>
      <c r="D251" s="3">
        <v>0.8208333333333333</v>
      </c>
      <c r="E251" t="s">
        <v>35</v>
      </c>
      <c r="F251" s="1"/>
      <c r="G251" s="1"/>
      <c r="H251" s="6"/>
      <c r="U251" s="2">
        <f>中央線快速_八王子・大月方面_平日[[#This Row],[発車時刻(Time)]]-$D250</f>
        <v>2.0833333333333259E-3</v>
      </c>
      <c r="V251" s="4">
        <f t="shared" si="3"/>
        <v>1.1163032191069615</v>
      </c>
    </row>
    <row r="252" spans="2:22" x14ac:dyDescent="0.2">
      <c r="B252" s="7" t="s">
        <v>55</v>
      </c>
      <c r="C252" s="1" t="s">
        <v>21</v>
      </c>
      <c r="D252" s="3">
        <v>0.82291666666666663</v>
      </c>
      <c r="E252" t="s">
        <v>40</v>
      </c>
      <c r="F252" s="1"/>
      <c r="G252" s="1"/>
      <c r="H252" s="6"/>
      <c r="U252" s="2">
        <f>中央線快速_八王子・大月方面_平日[[#This Row],[発車時刻(Time)]]-$D251</f>
        <v>2.0833333333333259E-3</v>
      </c>
      <c r="V252" s="4">
        <f t="shared" si="3"/>
        <v>1.1163032191069615</v>
      </c>
    </row>
    <row r="253" spans="2:22" x14ac:dyDescent="0.2">
      <c r="B253" s="7" t="s">
        <v>55</v>
      </c>
      <c r="C253" s="1" t="s">
        <v>47</v>
      </c>
      <c r="D253" s="3">
        <v>0.82500000000000007</v>
      </c>
      <c r="E253" t="s">
        <v>45</v>
      </c>
      <c r="F253" s="1"/>
      <c r="G253" s="1"/>
      <c r="H253" s="6"/>
      <c r="U253" s="2">
        <f>中央線快速_八王子・大月方面_平日[[#This Row],[発車時刻(Time)]]-$D252</f>
        <v>2.083333333333437E-3</v>
      </c>
      <c r="V253" s="4">
        <f t="shared" si="3"/>
        <v>1.116303219106902</v>
      </c>
    </row>
    <row r="254" spans="2:22" x14ac:dyDescent="0.2">
      <c r="B254" s="7" t="s">
        <v>55</v>
      </c>
      <c r="C254" s="1" t="s">
        <v>21</v>
      </c>
      <c r="D254" s="3">
        <v>0.82777777777777783</v>
      </c>
      <c r="E254" t="s">
        <v>35</v>
      </c>
      <c r="F254" s="1"/>
      <c r="G254" s="1"/>
      <c r="H254" s="6"/>
      <c r="U254" s="2">
        <f>中央線快速_八王子・大月方面_平日[[#This Row],[発車時刻(Time)]]-$D253</f>
        <v>2.7777777777777679E-3</v>
      </c>
      <c r="V254" s="4">
        <f t="shared" si="3"/>
        <v>0.83722741433022108</v>
      </c>
    </row>
    <row r="255" spans="2:22" x14ac:dyDescent="0.2">
      <c r="B255" s="7" t="s">
        <v>55</v>
      </c>
      <c r="C255" s="1" t="s">
        <v>21</v>
      </c>
      <c r="D255" s="3">
        <v>0.8305555555555556</v>
      </c>
      <c r="E255" t="s">
        <v>36</v>
      </c>
      <c r="F255" s="1"/>
      <c r="G255" s="1"/>
      <c r="H255" s="6"/>
      <c r="U255" s="2">
        <f>中央線快速_八王子・大月方面_平日[[#This Row],[発車時刻(Time)]]-$D254</f>
        <v>2.7777777777777679E-3</v>
      </c>
      <c r="V255" s="4">
        <f t="shared" si="3"/>
        <v>0.83722741433022108</v>
      </c>
    </row>
    <row r="256" spans="2:22" x14ac:dyDescent="0.2">
      <c r="B256" s="9" t="s">
        <v>37</v>
      </c>
      <c r="C256" s="1" t="s">
        <v>24</v>
      </c>
      <c r="D256" s="3">
        <v>0.83333333333333337</v>
      </c>
      <c r="E256" t="s">
        <v>38</v>
      </c>
      <c r="F256" s="1"/>
      <c r="G256" s="1" t="s">
        <v>39</v>
      </c>
      <c r="H256" s="6"/>
      <c r="U256" s="2">
        <f>中央線快速_八王子・大月方面_平日[[#This Row],[発車時刻(Time)]]-$D255</f>
        <v>2.7777777777777679E-3</v>
      </c>
      <c r="V256" s="4">
        <f t="shared" si="3"/>
        <v>0.83722741433022108</v>
      </c>
    </row>
    <row r="257" spans="2:22" x14ac:dyDescent="0.2">
      <c r="B257" s="7" t="s">
        <v>55</v>
      </c>
      <c r="C257" s="1" t="s">
        <v>21</v>
      </c>
      <c r="D257" s="3">
        <v>0.8340277777777777</v>
      </c>
      <c r="E257" t="s">
        <v>45</v>
      </c>
      <c r="F257" s="1"/>
      <c r="G257" s="1"/>
      <c r="H257" s="6"/>
      <c r="U257" s="2">
        <f>中央線快速_八王子・大月方面_平日[[#This Row],[発車時刻(Time)]]-$D256</f>
        <v>6.9444444444433095E-4</v>
      </c>
      <c r="V257" s="4">
        <f t="shared" si="3"/>
        <v>3.3489096573214199</v>
      </c>
    </row>
    <row r="258" spans="2:22" x14ac:dyDescent="0.2">
      <c r="B258" s="7" t="s">
        <v>55</v>
      </c>
      <c r="C258" s="1" t="s">
        <v>21</v>
      </c>
      <c r="D258" s="3">
        <v>0.83680555555555547</v>
      </c>
      <c r="E258" t="s">
        <v>43</v>
      </c>
      <c r="F258" s="1"/>
      <c r="G258" s="1"/>
      <c r="H258" s="6"/>
      <c r="U258" s="2">
        <f>中央線快速_八王子・大月方面_平日[[#This Row],[発車時刻(Time)]]-$D257</f>
        <v>2.7777777777777679E-3</v>
      </c>
      <c r="V258" s="4">
        <f t="shared" si="3"/>
        <v>0.83722741433022108</v>
      </c>
    </row>
    <row r="259" spans="2:22" x14ac:dyDescent="0.2">
      <c r="B259" s="7" t="s">
        <v>55</v>
      </c>
      <c r="C259" s="1" t="s">
        <v>47</v>
      </c>
      <c r="D259" s="3">
        <v>0.83888888888888891</v>
      </c>
      <c r="E259" t="s">
        <v>35</v>
      </c>
      <c r="F259" s="1"/>
      <c r="G259" s="1"/>
      <c r="H259" s="6"/>
      <c r="U259" s="2">
        <f>中央線快速_八王子・大月方面_平日[[#This Row],[発車時刻(Time)]]-$D258</f>
        <v>2.083333333333437E-3</v>
      </c>
      <c r="V259" s="4">
        <f t="shared" si="3"/>
        <v>1.116303219106902</v>
      </c>
    </row>
    <row r="260" spans="2:22" x14ac:dyDescent="0.2">
      <c r="B260" s="7" t="s">
        <v>55</v>
      </c>
      <c r="C260" s="1" t="s">
        <v>21</v>
      </c>
      <c r="D260" s="3">
        <v>0.84097222222222223</v>
      </c>
      <c r="E260" t="s">
        <v>35</v>
      </c>
      <c r="F260" s="1"/>
      <c r="G260" s="1"/>
      <c r="H260" s="6"/>
      <c r="U260" s="2">
        <f>中央線快速_八王子・大月方面_平日[[#This Row],[発車時刻(Time)]]-$D259</f>
        <v>2.0833333333333259E-3</v>
      </c>
      <c r="V260" s="4">
        <f t="shared" ref="V260:V323" si="4">IFERROR((1/(U260/$K$16)), 0)</f>
        <v>1.1163032191069615</v>
      </c>
    </row>
    <row r="261" spans="2:22" x14ac:dyDescent="0.2">
      <c r="B261" s="9" t="s">
        <v>37</v>
      </c>
      <c r="C261" s="1" t="s">
        <v>49</v>
      </c>
      <c r="D261" s="3">
        <v>0.84375</v>
      </c>
      <c r="E261" t="s">
        <v>36</v>
      </c>
      <c r="F261" s="1"/>
      <c r="G261" s="1"/>
      <c r="H261" s="6"/>
      <c r="U261" s="2">
        <f>中央線快速_八王子・大月方面_平日[[#This Row],[発車時刻(Time)]]-$D260</f>
        <v>2.7777777777777679E-3</v>
      </c>
      <c r="V261" s="4">
        <f t="shared" si="4"/>
        <v>0.83722741433022108</v>
      </c>
    </row>
    <row r="262" spans="2:22" x14ac:dyDescent="0.2">
      <c r="B262" s="7" t="s">
        <v>55</v>
      </c>
      <c r="C262" s="1" t="s">
        <v>21</v>
      </c>
      <c r="D262" s="3">
        <v>0.84513888888888899</v>
      </c>
      <c r="E262" t="s">
        <v>36</v>
      </c>
      <c r="F262" s="1"/>
      <c r="G262" s="1"/>
      <c r="H262" s="6"/>
      <c r="U262" s="2">
        <f>中央線快速_八王子・大月方面_平日[[#This Row],[発車時刻(Time)]]-$D261</f>
        <v>1.388888888888995E-3</v>
      </c>
      <c r="V262" s="4">
        <f t="shared" si="4"/>
        <v>1.6744548286603083</v>
      </c>
    </row>
    <row r="263" spans="2:22" x14ac:dyDescent="0.2">
      <c r="B263" s="7" t="s">
        <v>55</v>
      </c>
      <c r="C263" s="1" t="s">
        <v>21</v>
      </c>
      <c r="D263" s="3">
        <v>0.84722222222222221</v>
      </c>
      <c r="E263" t="s">
        <v>35</v>
      </c>
      <c r="F263" s="1"/>
      <c r="G263" s="1"/>
      <c r="H263" s="6"/>
      <c r="U263" s="2">
        <f>中央線快速_八王子・大月方面_平日[[#This Row],[発車時刻(Time)]]-$D262</f>
        <v>2.0833333333332149E-3</v>
      </c>
      <c r="V263" s="4">
        <f t="shared" si="4"/>
        <v>1.1163032191070208</v>
      </c>
    </row>
    <row r="264" spans="2:22" x14ac:dyDescent="0.2">
      <c r="B264" s="7" t="s">
        <v>55</v>
      </c>
      <c r="C264" s="1" t="s">
        <v>47</v>
      </c>
      <c r="D264" s="3">
        <v>0.84930555555555554</v>
      </c>
      <c r="E264" t="s">
        <v>35</v>
      </c>
      <c r="F264" s="1"/>
      <c r="G264" s="1"/>
      <c r="H264" s="6"/>
      <c r="U264" s="2">
        <f>中央線快速_八王子・大月方面_平日[[#This Row],[発車時刻(Time)]]-$D263</f>
        <v>2.0833333333333259E-3</v>
      </c>
      <c r="V264" s="4">
        <f t="shared" si="4"/>
        <v>1.1163032191069615</v>
      </c>
    </row>
    <row r="265" spans="2:22" x14ac:dyDescent="0.2">
      <c r="B265" s="7" t="s">
        <v>55</v>
      </c>
      <c r="C265" s="1" t="s">
        <v>21</v>
      </c>
      <c r="D265" s="3">
        <v>0.85069444444444453</v>
      </c>
      <c r="E265" t="s">
        <v>35</v>
      </c>
      <c r="F265" s="1"/>
      <c r="G265" s="1"/>
      <c r="H265" s="6"/>
      <c r="U265" s="2">
        <f>中央線快速_八王子・大月方面_平日[[#This Row],[発車時刻(Time)]]-$D264</f>
        <v>1.388888888888995E-3</v>
      </c>
      <c r="V265" s="4">
        <f t="shared" si="4"/>
        <v>1.6744548286603083</v>
      </c>
    </row>
    <row r="266" spans="2:22" x14ac:dyDescent="0.2">
      <c r="B266" s="7" t="s">
        <v>55</v>
      </c>
      <c r="C266" s="1" t="s">
        <v>21</v>
      </c>
      <c r="D266" s="3">
        <v>0.8534722222222223</v>
      </c>
      <c r="E266" t="s">
        <v>43</v>
      </c>
      <c r="F266" s="1"/>
      <c r="G266" s="1"/>
      <c r="H266" s="6"/>
      <c r="U266" s="2">
        <f>中央線快速_八王子・大月方面_平日[[#This Row],[発車時刻(Time)]]-$D265</f>
        <v>2.7777777777777679E-3</v>
      </c>
      <c r="V266" s="4">
        <f t="shared" si="4"/>
        <v>0.83722741433022108</v>
      </c>
    </row>
    <row r="267" spans="2:22" x14ac:dyDescent="0.2">
      <c r="B267" s="7" t="s">
        <v>55</v>
      </c>
      <c r="C267" s="1" t="s">
        <v>21</v>
      </c>
      <c r="D267" s="3">
        <v>0.85555555555555562</v>
      </c>
      <c r="E267" t="s">
        <v>43</v>
      </c>
      <c r="F267" s="1"/>
      <c r="G267" s="1"/>
      <c r="H267" s="6"/>
      <c r="U267" s="2">
        <f>中央線快速_八王子・大月方面_平日[[#This Row],[発車時刻(Time)]]-$D266</f>
        <v>2.0833333333333259E-3</v>
      </c>
      <c r="V267" s="4">
        <f t="shared" si="4"/>
        <v>1.1163032191069615</v>
      </c>
    </row>
    <row r="268" spans="2:22" x14ac:dyDescent="0.2">
      <c r="B268" s="7" t="s">
        <v>55</v>
      </c>
      <c r="C268" s="1" t="s">
        <v>47</v>
      </c>
      <c r="D268" s="3">
        <v>0.85763888888888884</v>
      </c>
      <c r="E268" t="s">
        <v>36</v>
      </c>
      <c r="F268" s="1"/>
      <c r="G268" s="1"/>
      <c r="H268" s="6"/>
      <c r="U268" s="2">
        <f>中央線快速_八王子・大月方面_平日[[#This Row],[発車時刻(Time)]]-$D267</f>
        <v>2.0833333333332149E-3</v>
      </c>
      <c r="V268" s="4">
        <f t="shared" si="4"/>
        <v>1.1163032191070208</v>
      </c>
    </row>
    <row r="269" spans="2:22" x14ac:dyDescent="0.2">
      <c r="B269" s="7" t="s">
        <v>55</v>
      </c>
      <c r="C269" s="1" t="s">
        <v>21</v>
      </c>
      <c r="D269" s="3">
        <v>0.85972222222222217</v>
      </c>
      <c r="E269" t="s">
        <v>35</v>
      </c>
      <c r="F269" s="1"/>
      <c r="G269" s="1"/>
      <c r="H269" s="6"/>
      <c r="U269" s="2">
        <f>中央線快速_八王子・大月方面_平日[[#This Row],[発車時刻(Time)]]-$D268</f>
        <v>2.0833333333333259E-3</v>
      </c>
      <c r="V269" s="4">
        <f t="shared" si="4"/>
        <v>1.1163032191069615</v>
      </c>
    </row>
    <row r="270" spans="2:22" x14ac:dyDescent="0.2">
      <c r="B270" s="7" t="s">
        <v>55</v>
      </c>
      <c r="C270" s="1" t="s">
        <v>21</v>
      </c>
      <c r="D270" s="3">
        <v>0.8618055555555556</v>
      </c>
      <c r="E270" t="s">
        <v>42</v>
      </c>
      <c r="F270" s="1"/>
      <c r="G270" s="1"/>
      <c r="H270" s="6"/>
      <c r="U270" s="2">
        <f>中央線快速_八王子・大月方面_平日[[#This Row],[発車時刻(Time)]]-$D269</f>
        <v>2.083333333333437E-3</v>
      </c>
      <c r="V270" s="4">
        <f t="shared" si="4"/>
        <v>1.116303219106902</v>
      </c>
    </row>
    <row r="271" spans="2:22" x14ac:dyDescent="0.2">
      <c r="B271" s="7" t="s">
        <v>55</v>
      </c>
      <c r="C271" s="1" t="s">
        <v>21</v>
      </c>
      <c r="D271" s="3">
        <v>0.86388888888888893</v>
      </c>
      <c r="E271" t="s">
        <v>35</v>
      </c>
      <c r="F271" s="1"/>
      <c r="G271" s="1"/>
      <c r="H271" s="6"/>
      <c r="U271" s="2">
        <f>中央線快速_八王子・大月方面_平日[[#This Row],[発車時刻(Time)]]-$D270</f>
        <v>2.0833333333333259E-3</v>
      </c>
      <c r="V271" s="4">
        <f t="shared" si="4"/>
        <v>1.1163032191069615</v>
      </c>
    </row>
    <row r="272" spans="2:22" x14ac:dyDescent="0.2">
      <c r="B272" s="7" t="s">
        <v>55</v>
      </c>
      <c r="C272" s="1" t="s">
        <v>21</v>
      </c>
      <c r="D272" s="3">
        <v>0.86597222222222225</v>
      </c>
      <c r="E272" t="s">
        <v>44</v>
      </c>
      <c r="F272" s="1"/>
      <c r="G272" s="1"/>
      <c r="H272" s="6"/>
      <c r="U272" s="2">
        <f>中央線快速_八王子・大月方面_平日[[#This Row],[発車時刻(Time)]]-$D271</f>
        <v>2.0833333333333259E-3</v>
      </c>
      <c r="V272" s="4">
        <f t="shared" si="4"/>
        <v>1.1163032191069615</v>
      </c>
    </row>
    <row r="273" spans="2:22" x14ac:dyDescent="0.2">
      <c r="B273" s="7" t="s">
        <v>55</v>
      </c>
      <c r="C273" s="1" t="s">
        <v>47</v>
      </c>
      <c r="D273" s="3">
        <v>0.86805555555555547</v>
      </c>
      <c r="E273" t="s">
        <v>35</v>
      </c>
      <c r="F273" s="1"/>
      <c r="G273" s="1"/>
      <c r="H273" s="6"/>
      <c r="U273" s="2">
        <f>中央線快速_八王子・大月方面_平日[[#This Row],[発車時刻(Time)]]-$D272</f>
        <v>2.0833333333332149E-3</v>
      </c>
      <c r="V273" s="4">
        <f t="shared" si="4"/>
        <v>1.1163032191070208</v>
      </c>
    </row>
    <row r="274" spans="2:22" x14ac:dyDescent="0.2">
      <c r="B274" s="7" t="s">
        <v>55</v>
      </c>
      <c r="C274" s="1" t="s">
        <v>21</v>
      </c>
      <c r="D274" s="3">
        <v>0.87152777777777779</v>
      </c>
      <c r="E274" t="s">
        <v>36</v>
      </c>
      <c r="F274" s="1"/>
      <c r="G274" s="1"/>
      <c r="H274" s="6"/>
      <c r="U274" s="2">
        <f>中央線快速_八王子・大月方面_平日[[#This Row],[発車時刻(Time)]]-$D273</f>
        <v>3.4722222222223209E-3</v>
      </c>
      <c r="V274" s="4">
        <f t="shared" si="4"/>
        <v>0.66978193146415543</v>
      </c>
    </row>
    <row r="275" spans="2:22" x14ac:dyDescent="0.2">
      <c r="B275" s="9" t="s">
        <v>37</v>
      </c>
      <c r="C275" s="1" t="s">
        <v>24</v>
      </c>
      <c r="D275" s="3">
        <v>0.875</v>
      </c>
      <c r="E275" t="s">
        <v>38</v>
      </c>
      <c r="F275" s="1"/>
      <c r="G275" s="1" t="s">
        <v>39</v>
      </c>
      <c r="H275" s="6"/>
      <c r="U275" s="2">
        <f>中央線快速_八王子・大月方面_平日[[#This Row],[発車時刻(Time)]]-$D274</f>
        <v>3.4722222222222099E-3</v>
      </c>
      <c r="V275" s="4">
        <f t="shared" si="4"/>
        <v>0.66978193146417686</v>
      </c>
    </row>
    <row r="276" spans="2:22" x14ac:dyDescent="0.2">
      <c r="B276" s="7" t="s">
        <v>55</v>
      </c>
      <c r="C276" s="1" t="s">
        <v>21</v>
      </c>
      <c r="D276" s="3">
        <v>0.87569444444444444</v>
      </c>
      <c r="E276" t="s">
        <v>44</v>
      </c>
      <c r="F276" s="1"/>
      <c r="G276" s="1"/>
      <c r="H276" s="6"/>
      <c r="U276" s="2">
        <f>中央線快速_八王子・大月方面_平日[[#This Row],[発車時刻(Time)]]-$D275</f>
        <v>6.9444444444444198E-4</v>
      </c>
      <c r="V276" s="4">
        <f t="shared" si="4"/>
        <v>3.3489096573208843</v>
      </c>
    </row>
    <row r="277" spans="2:22" x14ac:dyDescent="0.2">
      <c r="B277" s="7" t="s">
        <v>55</v>
      </c>
      <c r="C277" s="1" t="s">
        <v>47</v>
      </c>
      <c r="D277" s="3">
        <v>0.87847222222222221</v>
      </c>
      <c r="E277" t="s">
        <v>35</v>
      </c>
      <c r="F277" s="1"/>
      <c r="G277" s="1"/>
      <c r="H277" s="6"/>
      <c r="U277" s="2">
        <f>中央線快速_八王子・大月方面_平日[[#This Row],[発車時刻(Time)]]-$D276</f>
        <v>2.7777777777777679E-3</v>
      </c>
      <c r="V277" s="4">
        <f t="shared" si="4"/>
        <v>0.83722741433022108</v>
      </c>
    </row>
    <row r="278" spans="2:22" x14ac:dyDescent="0.2">
      <c r="B278" s="7" t="s">
        <v>55</v>
      </c>
      <c r="C278" s="1" t="s">
        <v>21</v>
      </c>
      <c r="D278" s="3">
        <v>0.87986111111111109</v>
      </c>
      <c r="E278" t="s">
        <v>35</v>
      </c>
      <c r="F278" s="1"/>
      <c r="G278" s="1"/>
      <c r="H278" s="6"/>
      <c r="U278" s="2">
        <f>中央線快速_八王子・大月方面_平日[[#This Row],[発車時刻(Time)]]-$D277</f>
        <v>1.388888888888884E-3</v>
      </c>
      <c r="V278" s="4">
        <f t="shared" si="4"/>
        <v>1.6744548286604422</v>
      </c>
    </row>
    <row r="279" spans="2:22" x14ac:dyDescent="0.2">
      <c r="B279" s="7" t="s">
        <v>55</v>
      </c>
      <c r="C279" s="1" t="s">
        <v>21</v>
      </c>
      <c r="D279" s="3">
        <v>0.88263888888888886</v>
      </c>
      <c r="E279" t="s">
        <v>43</v>
      </c>
      <c r="F279" s="1"/>
      <c r="G279" s="1"/>
      <c r="H279" s="6"/>
      <c r="U279" s="2">
        <f>中央線快速_八王子・大月方面_平日[[#This Row],[発車時刻(Time)]]-$D278</f>
        <v>2.7777777777777679E-3</v>
      </c>
      <c r="V279" s="4">
        <f t="shared" si="4"/>
        <v>0.83722741433022108</v>
      </c>
    </row>
    <row r="280" spans="2:22" x14ac:dyDescent="0.2">
      <c r="B280" s="9" t="s">
        <v>37</v>
      </c>
      <c r="C280" s="1" t="s">
        <v>49</v>
      </c>
      <c r="D280" s="3">
        <v>0.88541666666666663</v>
      </c>
      <c r="E280" t="s">
        <v>35</v>
      </c>
      <c r="F280" s="1"/>
      <c r="G280" s="1"/>
      <c r="H280" s="6"/>
      <c r="U280" s="2">
        <f>中央線快速_八王子・大月方面_平日[[#This Row],[発車時刻(Time)]]-$D279</f>
        <v>2.7777777777777679E-3</v>
      </c>
      <c r="V280" s="4">
        <f t="shared" si="4"/>
        <v>0.83722741433022108</v>
      </c>
    </row>
    <row r="281" spans="2:22" x14ac:dyDescent="0.2">
      <c r="B281" s="7" t="s">
        <v>55</v>
      </c>
      <c r="C281" s="1" t="s">
        <v>21</v>
      </c>
      <c r="D281" s="3">
        <v>0.88680555555555562</v>
      </c>
      <c r="E281" t="s">
        <v>43</v>
      </c>
      <c r="F281" s="1"/>
      <c r="G281" s="1"/>
      <c r="H281" s="6"/>
      <c r="U281" s="2">
        <f>中央線快速_八王子・大月方面_平日[[#This Row],[発車時刻(Time)]]-$D280</f>
        <v>1.388888888888995E-3</v>
      </c>
      <c r="V281" s="4">
        <f t="shared" si="4"/>
        <v>1.6744548286603083</v>
      </c>
    </row>
    <row r="282" spans="2:22" x14ac:dyDescent="0.2">
      <c r="B282" t="s">
        <v>53</v>
      </c>
      <c r="C282" s="1" t="s">
        <v>24</v>
      </c>
      <c r="D282" s="3">
        <v>0.8881944444444444</v>
      </c>
      <c r="E282" t="s">
        <v>35</v>
      </c>
      <c r="F282" s="1"/>
      <c r="G282" s="1"/>
      <c r="H282" s="6"/>
      <c r="U282" s="2">
        <f>中央線快速_八王子・大月方面_平日[[#This Row],[発車時刻(Time)]]-$D281</f>
        <v>1.3888888888887729E-3</v>
      </c>
      <c r="V282" s="4">
        <f t="shared" si="4"/>
        <v>1.674454828660576</v>
      </c>
    </row>
    <row r="283" spans="2:22" x14ac:dyDescent="0.2">
      <c r="B283" s="7" t="s">
        <v>55</v>
      </c>
      <c r="C283" s="1" t="s">
        <v>21</v>
      </c>
      <c r="D283" s="3">
        <v>0.89027777777777783</v>
      </c>
      <c r="E283" t="s">
        <v>36</v>
      </c>
      <c r="F283" s="1"/>
      <c r="G283" s="1"/>
      <c r="H283" s="6"/>
      <c r="U283" s="2">
        <f>中央線快速_八王子・大月方面_平日[[#This Row],[発車時刻(Time)]]-$D282</f>
        <v>2.083333333333437E-3</v>
      </c>
      <c r="V283" s="4">
        <f t="shared" si="4"/>
        <v>1.116303219106902</v>
      </c>
    </row>
    <row r="284" spans="2:22" x14ac:dyDescent="0.2">
      <c r="B284" s="7" t="s">
        <v>55</v>
      </c>
      <c r="C284" s="1" t="s">
        <v>47</v>
      </c>
      <c r="D284" s="3">
        <v>0.89236111111111116</v>
      </c>
      <c r="E284" t="s">
        <v>35</v>
      </c>
      <c r="F284" s="1"/>
      <c r="G284" s="1"/>
      <c r="H284" s="6"/>
      <c r="U284" s="2">
        <f>中央線快速_八王子・大月方面_平日[[#This Row],[発車時刻(Time)]]-$D283</f>
        <v>2.0833333333333259E-3</v>
      </c>
      <c r="V284" s="4">
        <f t="shared" si="4"/>
        <v>1.1163032191069615</v>
      </c>
    </row>
    <row r="285" spans="2:22" x14ac:dyDescent="0.2">
      <c r="B285" s="7" t="s">
        <v>55</v>
      </c>
      <c r="C285" s="1" t="s">
        <v>21</v>
      </c>
      <c r="D285" s="3">
        <v>0.89444444444444438</v>
      </c>
      <c r="E285" t="s">
        <v>35</v>
      </c>
      <c r="F285" s="1"/>
      <c r="G285" s="1"/>
      <c r="H285" s="6"/>
      <c r="U285" s="2">
        <f>中央線快速_八王子・大月方面_平日[[#This Row],[発車時刻(Time)]]-$D284</f>
        <v>2.0833333333332149E-3</v>
      </c>
      <c r="V285" s="4">
        <f t="shared" si="4"/>
        <v>1.1163032191070208</v>
      </c>
    </row>
    <row r="286" spans="2:22" x14ac:dyDescent="0.2">
      <c r="B286" s="7" t="s">
        <v>55</v>
      </c>
      <c r="C286" s="1" t="s">
        <v>21</v>
      </c>
      <c r="D286" s="3">
        <v>0.8979166666666667</v>
      </c>
      <c r="E286" t="s">
        <v>40</v>
      </c>
      <c r="F286" s="1"/>
      <c r="G286" s="1"/>
      <c r="H286" s="6"/>
      <c r="U286" s="2">
        <f>中央線快速_八王子・大月方面_平日[[#This Row],[発車時刻(Time)]]-$D285</f>
        <v>3.4722222222223209E-3</v>
      </c>
      <c r="V286" s="4">
        <f t="shared" si="4"/>
        <v>0.66978193146415543</v>
      </c>
    </row>
    <row r="287" spans="2:22" x14ac:dyDescent="0.2">
      <c r="B287" s="7" t="s">
        <v>55</v>
      </c>
      <c r="C287" s="1" t="s">
        <v>47</v>
      </c>
      <c r="D287" s="3">
        <v>0.9</v>
      </c>
      <c r="E287" t="s">
        <v>35</v>
      </c>
      <c r="F287" s="1"/>
      <c r="G287" s="1"/>
      <c r="H287" s="6"/>
      <c r="U287" s="2">
        <f>中央線快速_八王子・大月方面_平日[[#This Row],[発車時刻(Time)]]-$D286</f>
        <v>2.0833333333333259E-3</v>
      </c>
      <c r="V287" s="4">
        <f t="shared" si="4"/>
        <v>1.1163032191069615</v>
      </c>
    </row>
    <row r="288" spans="2:22" x14ac:dyDescent="0.2">
      <c r="B288" s="7" t="s">
        <v>55</v>
      </c>
      <c r="C288" s="1" t="s">
        <v>21</v>
      </c>
      <c r="D288" s="3">
        <v>0.90416666666666667</v>
      </c>
      <c r="E288" t="s">
        <v>36</v>
      </c>
      <c r="F288" s="1"/>
      <c r="G288" s="1"/>
      <c r="H288" s="6"/>
      <c r="U288" s="2">
        <f>中央線快速_八王子・大月方面_平日[[#This Row],[発車時刻(Time)]]-$D287</f>
        <v>4.1666666666666519E-3</v>
      </c>
      <c r="V288" s="4">
        <f t="shared" si="4"/>
        <v>0.55815160955348075</v>
      </c>
    </row>
    <row r="289" spans="2:22" x14ac:dyDescent="0.2">
      <c r="B289" s="9" t="s">
        <v>37</v>
      </c>
      <c r="C289" s="1" t="s">
        <v>49</v>
      </c>
      <c r="D289" s="3">
        <v>0.90625</v>
      </c>
      <c r="E289" t="s">
        <v>36</v>
      </c>
      <c r="F289" s="1"/>
      <c r="G289" s="1"/>
      <c r="H289" s="6"/>
      <c r="U289" s="2">
        <f>中央線快速_八王子・大月方面_平日[[#This Row],[発車時刻(Time)]]-$D288</f>
        <v>2.0833333333333259E-3</v>
      </c>
      <c r="V289" s="4">
        <f t="shared" si="4"/>
        <v>1.1163032191069615</v>
      </c>
    </row>
    <row r="290" spans="2:22" x14ac:dyDescent="0.2">
      <c r="B290" s="7" t="s">
        <v>55</v>
      </c>
      <c r="C290" s="1" t="s">
        <v>21</v>
      </c>
      <c r="D290" s="3">
        <v>0.90694444444444444</v>
      </c>
      <c r="E290" t="s">
        <v>43</v>
      </c>
      <c r="F290" s="1"/>
      <c r="G290" s="1"/>
      <c r="H290" s="6"/>
      <c r="U290" s="2">
        <f>中央線快速_八王子・大月方面_平日[[#This Row],[発車時刻(Time)]]-$D289</f>
        <v>6.9444444444444198E-4</v>
      </c>
      <c r="V290" s="4">
        <f t="shared" si="4"/>
        <v>3.3489096573208843</v>
      </c>
    </row>
    <row r="291" spans="2:22" x14ac:dyDescent="0.2">
      <c r="B291" s="7" t="s">
        <v>55</v>
      </c>
      <c r="C291" s="1" t="s">
        <v>47</v>
      </c>
      <c r="D291" s="3">
        <v>0.90902777777777777</v>
      </c>
      <c r="E291" t="s">
        <v>35</v>
      </c>
      <c r="F291" s="1"/>
      <c r="G291" s="1"/>
      <c r="H291" s="6"/>
      <c r="U291" s="2">
        <f>中央線快速_八王子・大月方面_平日[[#This Row],[発車時刻(Time)]]-$D290</f>
        <v>2.0833333333333259E-3</v>
      </c>
      <c r="V291" s="4">
        <f t="shared" si="4"/>
        <v>1.1163032191069615</v>
      </c>
    </row>
    <row r="292" spans="2:22" x14ac:dyDescent="0.2">
      <c r="B292" s="7" t="s">
        <v>55</v>
      </c>
      <c r="C292" s="1" t="s">
        <v>21</v>
      </c>
      <c r="D292" s="3">
        <v>0.91111111111111109</v>
      </c>
      <c r="E292" t="s">
        <v>35</v>
      </c>
      <c r="F292" s="1"/>
      <c r="G292" s="1"/>
      <c r="H292" s="6"/>
      <c r="U292" s="2">
        <f>中央線快速_八王子・大月方面_平日[[#This Row],[発車時刻(Time)]]-$D291</f>
        <v>2.0833333333333259E-3</v>
      </c>
      <c r="V292" s="4">
        <f t="shared" si="4"/>
        <v>1.1163032191069615</v>
      </c>
    </row>
    <row r="293" spans="2:22" x14ac:dyDescent="0.2">
      <c r="B293" s="7" t="s">
        <v>55</v>
      </c>
      <c r="C293" s="1" t="s">
        <v>21</v>
      </c>
      <c r="D293" s="3">
        <v>0.91388888888888886</v>
      </c>
      <c r="E293" t="s">
        <v>43</v>
      </c>
      <c r="F293" s="1"/>
      <c r="G293" s="1"/>
      <c r="H293" s="6"/>
      <c r="U293" s="2">
        <f>中央線快速_八王子・大月方面_平日[[#This Row],[発車時刻(Time)]]-$D292</f>
        <v>2.7777777777777679E-3</v>
      </c>
      <c r="V293" s="4">
        <f t="shared" si="4"/>
        <v>0.83722741433022108</v>
      </c>
    </row>
    <row r="294" spans="2:22" x14ac:dyDescent="0.2">
      <c r="B294" s="9" t="s">
        <v>37</v>
      </c>
      <c r="C294" s="1" t="s">
        <v>24</v>
      </c>
      <c r="D294" s="3">
        <v>0.91666666666666663</v>
      </c>
      <c r="E294" t="s">
        <v>46</v>
      </c>
      <c r="F294" s="1"/>
      <c r="G294" s="1"/>
      <c r="H294" s="6"/>
      <c r="U294" s="2">
        <f>中央線快速_八王子・大月方面_平日[[#This Row],[発車時刻(Time)]]-$D293</f>
        <v>2.7777777777777679E-3</v>
      </c>
      <c r="V294" s="4">
        <f t="shared" si="4"/>
        <v>0.83722741433022108</v>
      </c>
    </row>
    <row r="295" spans="2:22" x14ac:dyDescent="0.2">
      <c r="B295" s="7" t="s">
        <v>55</v>
      </c>
      <c r="C295" s="1" t="s">
        <v>21</v>
      </c>
      <c r="D295" s="3">
        <v>0.91805555555555562</v>
      </c>
      <c r="E295" t="s">
        <v>40</v>
      </c>
      <c r="F295" s="1"/>
      <c r="G295" s="1"/>
      <c r="H295" s="6"/>
      <c r="U295" s="2">
        <f>中央線快速_八王子・大月方面_平日[[#This Row],[発車時刻(Time)]]-$D294</f>
        <v>1.388888888888995E-3</v>
      </c>
      <c r="V295" s="4">
        <f t="shared" si="4"/>
        <v>1.6744548286603083</v>
      </c>
    </row>
    <row r="296" spans="2:22" x14ac:dyDescent="0.2">
      <c r="B296" s="7" t="s">
        <v>55</v>
      </c>
      <c r="C296" s="1" t="s">
        <v>47</v>
      </c>
      <c r="D296" s="3">
        <v>0.92013888888888884</v>
      </c>
      <c r="E296" t="s">
        <v>35</v>
      </c>
      <c r="F296" s="1"/>
      <c r="G296" s="1"/>
      <c r="H296" s="6"/>
      <c r="U296" s="2">
        <f>中央線快速_八王子・大月方面_平日[[#This Row],[発車時刻(Time)]]-$D295</f>
        <v>2.0833333333332149E-3</v>
      </c>
      <c r="V296" s="4">
        <f t="shared" si="4"/>
        <v>1.1163032191070208</v>
      </c>
    </row>
    <row r="297" spans="2:22" x14ac:dyDescent="0.2">
      <c r="B297" s="7" t="s">
        <v>55</v>
      </c>
      <c r="C297" s="1" t="s">
        <v>21</v>
      </c>
      <c r="D297" s="3">
        <v>0.92222222222222217</v>
      </c>
      <c r="E297" t="s">
        <v>35</v>
      </c>
      <c r="F297" s="1"/>
      <c r="G297" s="1"/>
      <c r="H297" s="6"/>
      <c r="U297" s="2">
        <f>中央線快速_八王子・大月方面_平日[[#This Row],[発車時刻(Time)]]-$D296</f>
        <v>2.0833333333333259E-3</v>
      </c>
      <c r="V297" s="4">
        <f t="shared" si="4"/>
        <v>1.1163032191069615</v>
      </c>
    </row>
    <row r="298" spans="2:22" x14ac:dyDescent="0.2">
      <c r="B298" t="s">
        <v>53</v>
      </c>
      <c r="C298" s="1" t="s">
        <v>24</v>
      </c>
      <c r="D298" s="3">
        <v>0.9243055555555556</v>
      </c>
      <c r="E298" t="s">
        <v>35</v>
      </c>
      <c r="F298" s="1"/>
      <c r="G298" s="1"/>
      <c r="H298" s="6"/>
      <c r="U298" s="2">
        <f>中央線快速_八王子・大月方面_平日[[#This Row],[発車時刻(Time)]]-$D297</f>
        <v>2.083333333333437E-3</v>
      </c>
      <c r="V298" s="4">
        <f t="shared" si="4"/>
        <v>1.116303219106902</v>
      </c>
    </row>
    <row r="299" spans="2:22" x14ac:dyDescent="0.2">
      <c r="B299" s="7" t="s">
        <v>55</v>
      </c>
      <c r="C299" s="1" t="s">
        <v>21</v>
      </c>
      <c r="D299" s="3">
        <v>0.92638888888888893</v>
      </c>
      <c r="E299" t="s">
        <v>36</v>
      </c>
      <c r="F299" s="1"/>
      <c r="G299" s="1"/>
      <c r="H299" s="6"/>
      <c r="U299" s="2">
        <f>中央線快速_八王子・大月方面_平日[[#This Row],[発車時刻(Time)]]-$D298</f>
        <v>2.0833333333333259E-3</v>
      </c>
      <c r="V299" s="4">
        <f t="shared" si="4"/>
        <v>1.1163032191069615</v>
      </c>
    </row>
    <row r="300" spans="2:22" x14ac:dyDescent="0.2">
      <c r="B300" s="7" t="s">
        <v>55</v>
      </c>
      <c r="C300" s="1" t="s">
        <v>22</v>
      </c>
      <c r="D300" s="3">
        <v>0.92986111111111114</v>
      </c>
      <c r="E300" t="s">
        <v>35</v>
      </c>
      <c r="F300" s="1"/>
      <c r="G300" s="1"/>
      <c r="H300" s="6"/>
      <c r="U300" s="2">
        <f>中央線快速_八王子・大月方面_平日[[#This Row],[発車時刻(Time)]]-$D299</f>
        <v>3.4722222222222099E-3</v>
      </c>
      <c r="V300" s="4">
        <f t="shared" si="4"/>
        <v>0.66978193146417686</v>
      </c>
    </row>
    <row r="301" spans="2:22" x14ac:dyDescent="0.2">
      <c r="B301" s="7" t="s">
        <v>55</v>
      </c>
      <c r="C301" s="1" t="s">
        <v>21</v>
      </c>
      <c r="D301" s="3">
        <v>0.93125000000000002</v>
      </c>
      <c r="E301" t="s">
        <v>40</v>
      </c>
      <c r="F301" s="1"/>
      <c r="G301" s="1"/>
      <c r="H301" s="6"/>
      <c r="U301" s="2">
        <f>中央線快速_八王子・大月方面_平日[[#This Row],[発車時刻(Time)]]-$D300</f>
        <v>1.388888888888884E-3</v>
      </c>
      <c r="V301" s="4">
        <f t="shared" si="4"/>
        <v>1.6744548286604422</v>
      </c>
    </row>
    <row r="302" spans="2:22" x14ac:dyDescent="0.2">
      <c r="B302" s="7" t="s">
        <v>55</v>
      </c>
      <c r="C302" s="1" t="s">
        <v>21</v>
      </c>
      <c r="D302" s="3">
        <v>0.93333333333333324</v>
      </c>
      <c r="E302" t="s">
        <v>35</v>
      </c>
      <c r="F302" s="1"/>
      <c r="G302" s="1"/>
      <c r="H302" s="6"/>
      <c r="U302" s="2">
        <f>中央線快速_八王子・大月方面_平日[[#This Row],[発車時刻(Time)]]-$D301</f>
        <v>2.0833333333332149E-3</v>
      </c>
      <c r="V302" s="4">
        <f t="shared" si="4"/>
        <v>1.1163032191070208</v>
      </c>
    </row>
    <row r="303" spans="2:22" x14ac:dyDescent="0.2">
      <c r="B303" s="7" t="s">
        <v>55</v>
      </c>
      <c r="C303" s="1" t="s">
        <v>22</v>
      </c>
      <c r="D303" s="3">
        <v>0.93680555555555556</v>
      </c>
      <c r="E303" t="s">
        <v>35</v>
      </c>
      <c r="F303" s="1"/>
      <c r="G303" s="1"/>
      <c r="H303" s="6"/>
      <c r="U303" s="2">
        <f>中央線快速_八王子・大月方面_平日[[#This Row],[発車時刻(Time)]]-$D302</f>
        <v>3.4722222222223209E-3</v>
      </c>
      <c r="V303" s="4">
        <f t="shared" si="4"/>
        <v>0.66978193146415543</v>
      </c>
    </row>
    <row r="304" spans="2:22" x14ac:dyDescent="0.2">
      <c r="B304" s="7" t="s">
        <v>55</v>
      </c>
      <c r="C304" s="1" t="s">
        <v>21</v>
      </c>
      <c r="D304" s="3">
        <v>0.93888888888888899</v>
      </c>
      <c r="E304" t="s">
        <v>36</v>
      </c>
      <c r="F304" s="1"/>
      <c r="G304" s="1"/>
      <c r="H304" s="6"/>
      <c r="U304" s="2">
        <f>中央線快速_八王子・大月方面_平日[[#This Row],[発車時刻(Time)]]-$D303</f>
        <v>2.083333333333437E-3</v>
      </c>
      <c r="V304" s="4">
        <f t="shared" si="4"/>
        <v>1.116303219106902</v>
      </c>
    </row>
    <row r="305" spans="2:22" x14ac:dyDescent="0.2">
      <c r="B305" s="7" t="s">
        <v>55</v>
      </c>
      <c r="C305" s="1" t="s">
        <v>21</v>
      </c>
      <c r="D305" s="3">
        <v>0.94374999999999998</v>
      </c>
      <c r="E305" t="s">
        <v>40</v>
      </c>
      <c r="F305" s="1"/>
      <c r="G305" s="1"/>
      <c r="H305" s="6"/>
      <c r="U305" s="2">
        <f>中央線快速_八王子・大月方面_平日[[#This Row],[発車時刻(Time)]]-$D304</f>
        <v>4.8611111111109828E-3</v>
      </c>
      <c r="V305" s="4">
        <f t="shared" si="4"/>
        <v>0.47841566533156576</v>
      </c>
    </row>
    <row r="306" spans="2:22" x14ac:dyDescent="0.2">
      <c r="B306" s="9" t="s">
        <v>37</v>
      </c>
      <c r="C306" s="1" t="s">
        <v>49</v>
      </c>
      <c r="D306" s="3">
        <v>0.94791666666666663</v>
      </c>
      <c r="E306" t="s">
        <v>44</v>
      </c>
      <c r="F306" s="1"/>
      <c r="G306" s="1"/>
      <c r="H306" s="6"/>
      <c r="U306" s="2">
        <f>中央線快速_八王子・大月方面_平日[[#This Row],[発車時刻(Time)]]-$D305</f>
        <v>4.1666666666666519E-3</v>
      </c>
      <c r="V306" s="4">
        <f t="shared" si="4"/>
        <v>0.55815160955348075</v>
      </c>
    </row>
    <row r="307" spans="2:22" x14ac:dyDescent="0.2">
      <c r="B307" s="7" t="s">
        <v>55</v>
      </c>
      <c r="C307" s="1" t="s">
        <v>21</v>
      </c>
      <c r="D307" s="3">
        <v>0.94861111111111107</v>
      </c>
      <c r="E307" t="s">
        <v>35</v>
      </c>
      <c r="F307" s="1"/>
      <c r="G307" s="1"/>
      <c r="H307" s="6"/>
      <c r="U307" s="2">
        <f>中央線快速_八王子・大月方面_平日[[#This Row],[発車時刻(Time)]]-$D306</f>
        <v>6.9444444444444198E-4</v>
      </c>
      <c r="V307" s="4">
        <f t="shared" si="4"/>
        <v>3.3489096573208843</v>
      </c>
    </row>
    <row r="308" spans="2:22" x14ac:dyDescent="0.2">
      <c r="B308" s="7" t="s">
        <v>55</v>
      </c>
      <c r="C308" s="1" t="s">
        <v>22</v>
      </c>
      <c r="D308" s="3">
        <v>0.95208333333333339</v>
      </c>
      <c r="E308" t="s">
        <v>35</v>
      </c>
      <c r="F308" s="1"/>
      <c r="G308" s="1"/>
      <c r="H308" s="6"/>
      <c r="U308" s="2">
        <f>中央線快速_八王子・大月方面_平日[[#This Row],[発車時刻(Time)]]-$D307</f>
        <v>3.4722222222223209E-3</v>
      </c>
      <c r="V308" s="4">
        <f t="shared" si="4"/>
        <v>0.66978193146415543</v>
      </c>
    </row>
    <row r="309" spans="2:22" x14ac:dyDescent="0.2">
      <c r="B309" s="7" t="s">
        <v>55</v>
      </c>
      <c r="C309" s="1" t="s">
        <v>21</v>
      </c>
      <c r="D309" s="3">
        <v>0.95416666666666661</v>
      </c>
      <c r="E309" t="s">
        <v>43</v>
      </c>
      <c r="F309" s="1"/>
      <c r="G309" s="1"/>
      <c r="H309" s="6"/>
      <c r="U309" s="2">
        <f>中央線快速_八王子・大月方面_平日[[#This Row],[発車時刻(Time)]]-$D308</f>
        <v>2.0833333333332149E-3</v>
      </c>
      <c r="V309" s="4">
        <f t="shared" si="4"/>
        <v>1.1163032191070208</v>
      </c>
    </row>
    <row r="310" spans="2:22" x14ac:dyDescent="0.2">
      <c r="B310" s="9" t="s">
        <v>37</v>
      </c>
      <c r="C310" s="1" t="s">
        <v>24</v>
      </c>
      <c r="D310" s="3">
        <v>0.95833333333333337</v>
      </c>
      <c r="E310" t="s">
        <v>46</v>
      </c>
      <c r="F310" s="1"/>
      <c r="G310" s="1"/>
      <c r="H310" s="6"/>
      <c r="U310" s="2">
        <f>中央線快速_八王子・大月方面_平日[[#This Row],[発車時刻(Time)]]-$D309</f>
        <v>4.1666666666667629E-3</v>
      </c>
      <c r="V310" s="4">
        <f t="shared" si="4"/>
        <v>0.55815160955346588</v>
      </c>
    </row>
    <row r="311" spans="2:22" x14ac:dyDescent="0.2">
      <c r="B311" s="7" t="s">
        <v>55</v>
      </c>
      <c r="C311" s="1" t="s">
        <v>21</v>
      </c>
      <c r="D311" s="3">
        <v>0.9590277777777777</v>
      </c>
      <c r="E311" t="s">
        <v>35</v>
      </c>
      <c r="F311" s="1"/>
      <c r="G311" s="1"/>
      <c r="H311" s="6"/>
      <c r="U311" s="2">
        <f>中央線快速_八王子・大月方面_平日[[#This Row],[発車時刻(Time)]]-$D310</f>
        <v>6.9444444444433095E-4</v>
      </c>
      <c r="V311" s="4">
        <f t="shared" si="4"/>
        <v>3.3489096573214199</v>
      </c>
    </row>
    <row r="312" spans="2:22" x14ac:dyDescent="0.2">
      <c r="B312" s="7" t="s">
        <v>55</v>
      </c>
      <c r="C312" s="1" t="s">
        <v>22</v>
      </c>
      <c r="D312" s="3">
        <v>0.96250000000000002</v>
      </c>
      <c r="E312" t="s">
        <v>35</v>
      </c>
      <c r="F312" s="1"/>
      <c r="G312" s="1"/>
      <c r="H312" s="6"/>
      <c r="U312" s="2">
        <f>中央線快速_八王子・大月方面_平日[[#This Row],[発車時刻(Time)]]-$D311</f>
        <v>3.4722222222223209E-3</v>
      </c>
      <c r="V312" s="4">
        <f t="shared" si="4"/>
        <v>0.66978193146415543</v>
      </c>
    </row>
    <row r="313" spans="2:22" x14ac:dyDescent="0.2">
      <c r="B313" s="7" t="s">
        <v>55</v>
      </c>
      <c r="C313" s="1" t="s">
        <v>21</v>
      </c>
      <c r="D313" s="3">
        <v>0.96388888888888891</v>
      </c>
      <c r="E313" t="s">
        <v>35</v>
      </c>
      <c r="F313" s="1"/>
      <c r="G313" s="1"/>
      <c r="H313" s="6"/>
      <c r="U313" s="2">
        <f>中央線快速_八王子・大月方面_平日[[#This Row],[発車時刻(Time)]]-$D312</f>
        <v>1.388888888888884E-3</v>
      </c>
      <c r="V313" s="4">
        <f t="shared" si="4"/>
        <v>1.6744548286604422</v>
      </c>
    </row>
    <row r="314" spans="2:22" x14ac:dyDescent="0.2">
      <c r="B314" s="9" t="s">
        <v>37</v>
      </c>
      <c r="C314" s="1" t="s">
        <v>49</v>
      </c>
      <c r="D314" s="3">
        <v>0.96875</v>
      </c>
      <c r="E314" t="s">
        <v>35</v>
      </c>
      <c r="F314" s="1"/>
      <c r="G314" s="1"/>
      <c r="H314" s="6"/>
      <c r="U314" s="2">
        <f>中央線快速_八王子・大月方面_平日[[#This Row],[発車時刻(Time)]]-$D313</f>
        <v>4.8611111111110938E-3</v>
      </c>
      <c r="V314" s="4">
        <f t="shared" si="4"/>
        <v>0.47841566533155488</v>
      </c>
    </row>
    <row r="315" spans="2:22" x14ac:dyDescent="0.2">
      <c r="B315" s="7" t="s">
        <v>55</v>
      </c>
      <c r="C315" s="1" t="s">
        <v>21</v>
      </c>
      <c r="D315" s="3">
        <v>0.96944444444444444</v>
      </c>
      <c r="E315" t="s">
        <v>43</v>
      </c>
      <c r="F315" s="1"/>
      <c r="G315" s="1"/>
      <c r="H315" s="6"/>
      <c r="U315" s="2">
        <f>中央線快速_八王子・大月方面_平日[[#This Row],[発車時刻(Time)]]-$D314</f>
        <v>6.9444444444444198E-4</v>
      </c>
      <c r="V315" s="4">
        <f t="shared" si="4"/>
        <v>3.3489096573208843</v>
      </c>
    </row>
    <row r="316" spans="2:22" x14ac:dyDescent="0.2">
      <c r="B316" s="7" t="s">
        <v>55</v>
      </c>
      <c r="C316" s="1" t="s">
        <v>21</v>
      </c>
      <c r="D316" s="3">
        <v>0.97430555555555554</v>
      </c>
      <c r="E316" t="s">
        <v>35</v>
      </c>
      <c r="F316" s="1"/>
      <c r="G316" s="1"/>
      <c r="H316" s="6"/>
      <c r="U316" s="2">
        <f>中央線快速_八王子・大月方面_平日[[#This Row],[発車時刻(Time)]]-$D315</f>
        <v>4.8611111111110938E-3</v>
      </c>
      <c r="V316" s="4">
        <f t="shared" si="4"/>
        <v>0.47841566533155488</v>
      </c>
    </row>
    <row r="317" spans="2:22" x14ac:dyDescent="0.2">
      <c r="B317" s="7" t="s">
        <v>55</v>
      </c>
      <c r="C317" s="1" t="s">
        <v>22</v>
      </c>
      <c r="D317" s="3">
        <v>0.9770833333333333</v>
      </c>
      <c r="E317" t="s">
        <v>35</v>
      </c>
      <c r="F317" s="1"/>
      <c r="G317" s="1"/>
      <c r="H317" s="6"/>
      <c r="U317" s="2">
        <f>中央線快速_八王子・大月方面_平日[[#This Row],[発車時刻(Time)]]-$D316</f>
        <v>2.7777777777777679E-3</v>
      </c>
      <c r="V317" s="4">
        <f t="shared" si="4"/>
        <v>0.83722741433022108</v>
      </c>
    </row>
    <row r="318" spans="2:22" x14ac:dyDescent="0.2">
      <c r="B318" s="7" t="s">
        <v>55</v>
      </c>
      <c r="C318" s="1" t="s">
        <v>21</v>
      </c>
      <c r="D318" s="3">
        <v>0.98125000000000007</v>
      </c>
      <c r="E318" t="s">
        <v>43</v>
      </c>
      <c r="F318" s="1"/>
      <c r="G318" s="1" t="s">
        <v>39</v>
      </c>
      <c r="H318" s="6"/>
      <c r="U318" s="2">
        <f>中央線快速_八王子・大月方面_平日[[#This Row],[発車時刻(Time)]]-$D317</f>
        <v>4.1666666666667629E-3</v>
      </c>
      <c r="V318" s="4">
        <f t="shared" si="4"/>
        <v>0.55815160955346588</v>
      </c>
    </row>
    <row r="319" spans="2:22" x14ac:dyDescent="0.2">
      <c r="B319" s="7" t="s">
        <v>55</v>
      </c>
      <c r="C319" s="1" t="s">
        <v>21</v>
      </c>
      <c r="D319" s="3">
        <v>0.98611111111111116</v>
      </c>
      <c r="E319" t="s">
        <v>35</v>
      </c>
      <c r="F319" s="1"/>
      <c r="G319" s="1"/>
      <c r="H319" s="6"/>
      <c r="U319" s="2">
        <f>中央線快速_八王子・大月方面_平日[[#This Row],[発車時刻(Time)]]-$D318</f>
        <v>4.8611111111110938E-3</v>
      </c>
      <c r="V319" s="4">
        <f t="shared" si="4"/>
        <v>0.47841566533155488</v>
      </c>
    </row>
    <row r="320" spans="2:22" x14ac:dyDescent="0.2">
      <c r="B320" s="7" t="s">
        <v>55</v>
      </c>
      <c r="C320" s="1" t="s">
        <v>22</v>
      </c>
      <c r="D320" s="3">
        <v>0.98958333333333337</v>
      </c>
      <c r="E320" t="s">
        <v>45</v>
      </c>
      <c r="F320" s="1"/>
      <c r="G320" s="1"/>
      <c r="H320" s="6"/>
      <c r="U320" s="2">
        <f>中央線快速_八王子・大月方面_平日[[#This Row],[発車時刻(Time)]]-$D319</f>
        <v>3.4722222222222099E-3</v>
      </c>
      <c r="V320" s="4">
        <f t="shared" si="4"/>
        <v>0.66978193146417686</v>
      </c>
    </row>
    <row r="321" spans="2:22" x14ac:dyDescent="0.2">
      <c r="B321" s="7" t="s">
        <v>55</v>
      </c>
      <c r="C321" s="1" t="s">
        <v>21</v>
      </c>
      <c r="D321" s="3">
        <v>0.99722222222222223</v>
      </c>
      <c r="E321" t="s">
        <v>43</v>
      </c>
      <c r="F321" s="1"/>
      <c r="G321" s="1"/>
      <c r="H321" s="6"/>
      <c r="U321" s="2">
        <f>中央線快速_八王子・大月方面_平日[[#This Row],[発車時刻(Time)]]-$D320</f>
        <v>7.6388888888888618E-3</v>
      </c>
      <c r="V321" s="4">
        <f t="shared" si="4"/>
        <v>0.30444633248371672</v>
      </c>
    </row>
    <row r="322" spans="2:22" x14ac:dyDescent="0.2">
      <c r="B322" s="7" t="s">
        <v>55</v>
      </c>
      <c r="C322" s="1" t="s">
        <v>21</v>
      </c>
      <c r="D322" s="3">
        <v>1.0041666666666667</v>
      </c>
      <c r="E322" t="s">
        <v>54</v>
      </c>
      <c r="F322" s="1"/>
      <c r="G322" s="1"/>
      <c r="H322" s="6"/>
      <c r="U322" s="2">
        <f>中央線快速_八王子・大月方面_平日[[#This Row],[発車時刻(Time)]]-$D321</f>
        <v>6.9444444444444198E-3</v>
      </c>
      <c r="V322" s="4">
        <f t="shared" si="4"/>
        <v>0.33489096573208843</v>
      </c>
    </row>
    <row r="323" spans="2:22" x14ac:dyDescent="0.2">
      <c r="B323" s="7" t="s">
        <v>55</v>
      </c>
      <c r="C323" s="1" t="s">
        <v>22</v>
      </c>
      <c r="D323" s="3">
        <v>1.0097222222222222</v>
      </c>
      <c r="E323" t="s">
        <v>35</v>
      </c>
      <c r="F323" s="1"/>
      <c r="G323" s="1"/>
      <c r="H323" s="6"/>
      <c r="U323" s="2">
        <f>中央線快速_八王子・大月方面_平日[[#This Row],[発車時刻(Time)]]-$D322</f>
        <v>5.5555555555555358E-3</v>
      </c>
      <c r="V323" s="4">
        <f t="shared" si="4"/>
        <v>0.41861370716511054</v>
      </c>
    </row>
    <row r="324" spans="2:22" x14ac:dyDescent="0.2">
      <c r="B324" s="7" t="s">
        <v>55</v>
      </c>
      <c r="C324" s="1" t="s">
        <v>21</v>
      </c>
      <c r="D324" s="3">
        <v>1.0111111111111111</v>
      </c>
      <c r="E324" t="s">
        <v>35</v>
      </c>
      <c r="F324" s="1"/>
      <c r="G324" s="1" t="s">
        <v>39</v>
      </c>
      <c r="H324" s="6"/>
      <c r="U324" s="2">
        <f>中央線快速_八王子・大月方面_平日[[#This Row],[発車時刻(Time)]]-$D323</f>
        <v>1.388888888888884E-3</v>
      </c>
      <c r="V324" s="4">
        <f t="shared" ref="V324" si="5">IFERROR((1/(U324/$K$16)), 0)</f>
        <v>1.6744548286604422</v>
      </c>
    </row>
    <row r="325" spans="2:22" x14ac:dyDescent="0.2">
      <c r="V325" s="4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24">
      <formula1>路線名</formula1>
    </dataValidation>
  </dataValidations>
  <pageMargins left="0.7" right="0.7" top="0.75" bottom="0.75" header="0.3" footer="0.3"/>
  <pageSetup paperSize="9" orientation="portrait" r:id="rId5"/>
  <drawing r:id="rId6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89"/>
  <sheetViews>
    <sheetView workbookViewId="0"/>
  </sheetViews>
  <sheetFormatPr defaultRowHeight="13.2" x14ac:dyDescent="0.2"/>
  <cols>
    <col min="1" max="1" width="2.21875" customWidth="1"/>
    <col min="2" max="2" width="15.109375" bestFit="1" customWidth="1"/>
    <col min="3" max="3" width="14.109375" bestFit="1" customWidth="1"/>
    <col min="4" max="4" width="18.6640625" bestFit="1" customWidth="1"/>
    <col min="5" max="5" width="12.44140625" bestFit="1" customWidth="1"/>
    <col min="6" max="6" width="16.5546875" bestFit="1" customWidth="1"/>
    <col min="7" max="7" width="13.6640625" bestFit="1" customWidth="1"/>
    <col min="8" max="8" width="31.44140625" bestFit="1" customWidth="1"/>
    <col min="9" max="9" width="2.21875" customWidth="1"/>
    <col min="10" max="10" width="19.33203125" bestFit="1" customWidth="1"/>
    <col min="11" max="11" width="19.88671875" bestFit="1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2">
      <c r="B3" s="7" t="s">
        <v>17</v>
      </c>
      <c r="C3" s="1" t="s">
        <v>21</v>
      </c>
      <c r="D3" s="3">
        <v>0.25347222222222221</v>
      </c>
      <c r="E3" t="s">
        <v>26</v>
      </c>
      <c r="F3" s="1">
        <v>8</v>
      </c>
      <c r="G3" s="1"/>
      <c r="H3" s="6" t="s">
        <v>29</v>
      </c>
      <c r="J3" s="6" t="s">
        <v>34</v>
      </c>
      <c r="K3" s="11">
        <v>281</v>
      </c>
      <c r="U3" s="5">
        <v>0</v>
      </c>
      <c r="V3" s="4">
        <f>IFERROR((1/(U3/$K$14)), 0)</f>
        <v>0</v>
      </c>
    </row>
    <row r="4" spans="2:22" x14ac:dyDescent="0.2">
      <c r="B4" s="7" t="s">
        <v>17</v>
      </c>
      <c r="C4" s="1" t="s">
        <v>21</v>
      </c>
      <c r="D4" s="3">
        <v>0.25833333333333336</v>
      </c>
      <c r="E4" t="s">
        <v>26</v>
      </c>
      <c r="F4" s="1">
        <v>8</v>
      </c>
      <c r="G4" s="1"/>
      <c r="H4" s="6" t="s">
        <v>29</v>
      </c>
      <c r="J4" s="6" t="s">
        <v>59</v>
      </c>
      <c r="K4" s="11">
        <v>6</v>
      </c>
      <c r="U4" s="2">
        <f>中央線快速_東京方面_平日[[#This Row],[発車時刻(Time)]]-$D3</f>
        <v>4.8611111111111494E-3</v>
      </c>
      <c r="V4" s="4">
        <f t="shared" ref="V4:V67" si="0">IFERROR((1/(U4/$K$14)), 0)</f>
        <v>0.53046953046952627</v>
      </c>
    </row>
    <row r="5" spans="2:22" x14ac:dyDescent="0.2">
      <c r="B5" s="7" t="s">
        <v>17</v>
      </c>
      <c r="C5" s="1" t="s">
        <v>21</v>
      </c>
      <c r="D5" s="3">
        <v>0.2638888888888889</v>
      </c>
      <c r="E5" t="s">
        <v>26</v>
      </c>
      <c r="F5" s="1">
        <v>8</v>
      </c>
      <c r="G5" s="1"/>
      <c r="H5" s="6" t="s">
        <v>29</v>
      </c>
      <c r="U5" s="2">
        <f>中央線快速_東京方面_平日[[#This Row],[発車時刻(Time)]]-$D4</f>
        <v>5.5555555555555358E-3</v>
      </c>
      <c r="V5" s="4">
        <f t="shared" si="0"/>
        <v>0.46416083916084083</v>
      </c>
    </row>
    <row r="6" spans="2:22" x14ac:dyDescent="0.2">
      <c r="B6" s="7" t="s">
        <v>17</v>
      </c>
      <c r="C6" s="1" t="s">
        <v>21</v>
      </c>
      <c r="D6" s="3">
        <v>0.26874999999999999</v>
      </c>
      <c r="E6" t="s">
        <v>26</v>
      </c>
      <c r="F6" s="1">
        <v>8</v>
      </c>
      <c r="G6" s="1"/>
      <c r="H6" s="6" t="s">
        <v>29</v>
      </c>
      <c r="J6" s="10" t="s">
        <v>63</v>
      </c>
      <c r="K6" t="s">
        <v>56</v>
      </c>
      <c r="L6" s="10"/>
      <c r="U6" s="2">
        <f>中央線快速_東京方面_平日[[#This Row],[発車時刻(Time)]]-$D5</f>
        <v>4.8611111111110938E-3</v>
      </c>
      <c r="V6" s="4">
        <f t="shared" si="0"/>
        <v>0.53046953046953238</v>
      </c>
    </row>
    <row r="7" spans="2:22" x14ac:dyDescent="0.2">
      <c r="B7" s="7" t="s">
        <v>17</v>
      </c>
      <c r="C7" s="1" t="s">
        <v>21</v>
      </c>
      <c r="D7" s="3">
        <v>0.27430555555555552</v>
      </c>
      <c r="E7" t="s">
        <v>26</v>
      </c>
      <c r="F7" s="1">
        <v>8</v>
      </c>
      <c r="G7" s="1"/>
      <c r="H7" s="6" t="s">
        <v>29</v>
      </c>
      <c r="J7" s="6" t="s">
        <v>21</v>
      </c>
      <c r="K7" s="11">
        <v>227</v>
      </c>
      <c r="U7" s="2">
        <f>中央線快速_東京方面_平日[[#This Row],[発車時刻(Time)]]-$D6</f>
        <v>5.5555555555555358E-3</v>
      </c>
      <c r="V7" s="4">
        <f t="shared" si="0"/>
        <v>0.46416083916084083</v>
      </c>
    </row>
    <row r="8" spans="2:22" x14ac:dyDescent="0.2">
      <c r="B8" s="7" t="s">
        <v>17</v>
      </c>
      <c r="C8" s="1" t="s">
        <v>21</v>
      </c>
      <c r="D8" s="3">
        <v>0.27777777777777779</v>
      </c>
      <c r="E8" t="s">
        <v>26</v>
      </c>
      <c r="F8" s="1">
        <v>8</v>
      </c>
      <c r="G8" s="1"/>
      <c r="H8" s="6" t="s">
        <v>29</v>
      </c>
      <c r="J8" s="6" t="s">
        <v>22</v>
      </c>
      <c r="K8" s="11">
        <v>41</v>
      </c>
      <c r="U8" s="2">
        <f>中央線快速_東京方面_平日[[#This Row],[発車時刻(Time)]]-$D7</f>
        <v>3.4722222222222654E-3</v>
      </c>
      <c r="V8" s="4">
        <f t="shared" si="0"/>
        <v>0.74265734265733341</v>
      </c>
    </row>
    <row r="9" spans="2:22" x14ac:dyDescent="0.2">
      <c r="B9" s="7" t="s">
        <v>17</v>
      </c>
      <c r="C9" s="1" t="s">
        <v>22</v>
      </c>
      <c r="D9" s="3">
        <v>0.28125</v>
      </c>
      <c r="E9" t="s">
        <v>26</v>
      </c>
      <c r="F9" s="1">
        <v>8</v>
      </c>
      <c r="G9" s="1"/>
      <c r="H9" s="6" t="s">
        <v>29</v>
      </c>
      <c r="J9" s="6" t="s">
        <v>25</v>
      </c>
      <c r="K9" s="11">
        <v>8</v>
      </c>
      <c r="U9" s="2">
        <f>中央線快速_東京方面_平日[[#This Row],[発車時刻(Time)]]-$D8</f>
        <v>3.4722222222222099E-3</v>
      </c>
      <c r="V9" s="4">
        <f t="shared" si="0"/>
        <v>0.74265734265734529</v>
      </c>
    </row>
    <row r="10" spans="2:22" x14ac:dyDescent="0.2">
      <c r="B10" s="7" t="s">
        <v>17</v>
      </c>
      <c r="C10" s="1" t="s">
        <v>21</v>
      </c>
      <c r="D10" s="3">
        <v>0.28472222222222221</v>
      </c>
      <c r="E10" t="s">
        <v>26</v>
      </c>
      <c r="F10" s="1">
        <v>8</v>
      </c>
      <c r="G10" s="1"/>
      <c r="H10" s="6" t="s">
        <v>29</v>
      </c>
      <c r="J10" s="6" t="s">
        <v>24</v>
      </c>
      <c r="K10" s="11">
        <v>6</v>
      </c>
      <c r="U10" s="2">
        <f>中央線快速_東京方面_平日[[#This Row],[発車時刻(Time)]]-$D9</f>
        <v>3.4722222222222099E-3</v>
      </c>
      <c r="V10" s="4">
        <f t="shared" si="0"/>
        <v>0.74265734265734529</v>
      </c>
    </row>
    <row r="11" spans="2:22" x14ac:dyDescent="0.2">
      <c r="B11" s="7" t="s">
        <v>17</v>
      </c>
      <c r="C11" s="1" t="s">
        <v>21</v>
      </c>
      <c r="D11" s="3">
        <v>0.28958333333333336</v>
      </c>
      <c r="E11" t="s">
        <v>26</v>
      </c>
      <c r="F11" s="1">
        <v>8</v>
      </c>
      <c r="G11" s="1"/>
      <c r="H11" s="6" t="s">
        <v>29</v>
      </c>
      <c r="J11" s="6" t="s">
        <v>23</v>
      </c>
      <c r="K11" s="11">
        <v>5</v>
      </c>
      <c r="U11" s="2">
        <f>中央線快速_東京方面_平日[[#This Row],[発車時刻(Time)]]-$D10</f>
        <v>4.8611111111111494E-3</v>
      </c>
      <c r="V11" s="4">
        <f t="shared" si="0"/>
        <v>0.53046953046952627</v>
      </c>
    </row>
    <row r="12" spans="2:22" x14ac:dyDescent="0.2">
      <c r="B12" s="7" t="s">
        <v>17</v>
      </c>
      <c r="C12" s="1" t="s">
        <v>22</v>
      </c>
      <c r="D12" s="3">
        <v>0.29236111111111113</v>
      </c>
      <c r="E12" t="s">
        <v>26</v>
      </c>
      <c r="F12" s="1">
        <v>8</v>
      </c>
      <c r="G12" s="1"/>
      <c r="H12" s="6" t="s">
        <v>29</v>
      </c>
      <c r="J12" s="6" t="s">
        <v>57</v>
      </c>
      <c r="K12" s="11">
        <v>287</v>
      </c>
      <c r="U12" s="2">
        <f>中央線快速_東京方面_平日[[#This Row],[発車時刻(Time)]]-$D11</f>
        <v>2.7777777777777679E-3</v>
      </c>
      <c r="V12" s="4">
        <f t="shared" si="0"/>
        <v>0.92832167832168166</v>
      </c>
    </row>
    <row r="13" spans="2:22" x14ac:dyDescent="0.2">
      <c r="B13" s="7" t="s">
        <v>17</v>
      </c>
      <c r="C13" s="1" t="s">
        <v>21</v>
      </c>
      <c r="D13" s="3">
        <v>0.29652777777777778</v>
      </c>
      <c r="E13" t="s">
        <v>26</v>
      </c>
      <c r="F13" s="1">
        <v>8</v>
      </c>
      <c r="G13" s="1"/>
      <c r="H13" s="6" t="s">
        <v>29</v>
      </c>
      <c r="U13" s="2">
        <f>中央線快速_東京方面_平日[[#This Row],[発車時刻(Time)]]-$D12</f>
        <v>4.1666666666666519E-3</v>
      </c>
      <c r="V13" s="4">
        <f t="shared" si="0"/>
        <v>0.61888111888112107</v>
      </c>
    </row>
    <row r="14" spans="2:22" x14ac:dyDescent="0.2">
      <c r="B14" s="7" t="s">
        <v>17</v>
      </c>
      <c r="C14" s="1" t="s">
        <v>21</v>
      </c>
      <c r="D14" s="3">
        <v>0.29930555555555555</v>
      </c>
      <c r="E14" t="s">
        <v>26</v>
      </c>
      <c r="F14" s="1">
        <v>8</v>
      </c>
      <c r="G14" s="1"/>
      <c r="H14" s="6" t="s">
        <v>29</v>
      </c>
      <c r="J14" s="12" t="s">
        <v>70</v>
      </c>
      <c r="K14" s="14">
        <f>AVERAGE(U4:U289)</f>
        <v>2.5786713286713287E-3</v>
      </c>
      <c r="U14" s="2">
        <f>中央線快速_東京方面_平日[[#This Row],[発車時刻(Time)]]-$D13</f>
        <v>2.7777777777777679E-3</v>
      </c>
      <c r="V14" s="4">
        <f t="shared" si="0"/>
        <v>0.92832167832168166</v>
      </c>
    </row>
    <row r="15" spans="2:22" x14ac:dyDescent="0.2">
      <c r="B15" s="7" t="s">
        <v>17</v>
      </c>
      <c r="C15" s="1" t="s">
        <v>21</v>
      </c>
      <c r="D15" s="3">
        <v>0.30069444444444443</v>
      </c>
      <c r="E15" t="s">
        <v>26</v>
      </c>
      <c r="F15" s="1">
        <v>8</v>
      </c>
      <c r="G15" s="1"/>
      <c r="H15" s="6" t="s">
        <v>29</v>
      </c>
      <c r="U15" s="2">
        <f>中央線快速_東京方面_平日[[#This Row],[発車時刻(Time)]]-$D14</f>
        <v>1.388888888888884E-3</v>
      </c>
      <c r="V15" s="4">
        <f t="shared" si="0"/>
        <v>1.8566433566433633</v>
      </c>
    </row>
    <row r="16" spans="2:22" x14ac:dyDescent="0.2">
      <c r="B16" s="7" t="s">
        <v>17</v>
      </c>
      <c r="C16" s="1" t="s">
        <v>21</v>
      </c>
      <c r="D16" s="3">
        <v>0.30208333333333331</v>
      </c>
      <c r="E16" t="s">
        <v>26</v>
      </c>
      <c r="F16" s="1">
        <v>7</v>
      </c>
      <c r="G16" s="1"/>
      <c r="H16" s="6" t="s">
        <v>29</v>
      </c>
      <c r="J16" s="10" t="s">
        <v>64</v>
      </c>
      <c r="K16" t="s">
        <v>60</v>
      </c>
      <c r="L16" s="10"/>
      <c r="M16" s="10"/>
      <c r="N16" s="10"/>
      <c r="O16" s="10"/>
      <c r="P16" s="10"/>
      <c r="Q16" s="10"/>
      <c r="R16" s="10"/>
      <c r="S16" s="10"/>
      <c r="T16" s="10"/>
      <c r="U16" s="15">
        <f>中央線快速_東京方面_平日[[#This Row],[発車時刻(Time)]]-$D15</f>
        <v>1.388888888888884E-3</v>
      </c>
      <c r="V16" s="4">
        <f t="shared" si="0"/>
        <v>1.8566433566433633</v>
      </c>
    </row>
    <row r="17" spans="2:22" x14ac:dyDescent="0.2">
      <c r="B17" s="7" t="s">
        <v>17</v>
      </c>
      <c r="C17" s="1" t="s">
        <v>21</v>
      </c>
      <c r="D17" s="3">
        <v>0.3034722222222222</v>
      </c>
      <c r="E17" t="s">
        <v>26</v>
      </c>
      <c r="F17" s="1">
        <v>7</v>
      </c>
      <c r="G17" s="1"/>
      <c r="H17" s="6" t="s">
        <v>29</v>
      </c>
      <c r="J17" s="6" t="s">
        <v>26</v>
      </c>
      <c r="K17" s="11">
        <v>285</v>
      </c>
      <c r="U17" s="2">
        <f>中央線快速_東京方面_平日[[#This Row],[発車時刻(Time)]]-$D16</f>
        <v>1.388888888888884E-3</v>
      </c>
      <c r="V17" s="4">
        <f t="shared" si="0"/>
        <v>1.8566433566433633</v>
      </c>
    </row>
    <row r="18" spans="2:22" x14ac:dyDescent="0.2">
      <c r="B18" s="7" t="s">
        <v>17</v>
      </c>
      <c r="C18" s="1" t="s">
        <v>21</v>
      </c>
      <c r="D18" s="3">
        <v>0.30694444444444441</v>
      </c>
      <c r="E18" t="s">
        <v>26</v>
      </c>
      <c r="F18" s="1">
        <v>7</v>
      </c>
      <c r="G18" s="1"/>
      <c r="H18" s="6" t="s">
        <v>29</v>
      </c>
      <c r="J18" s="6" t="s">
        <v>27</v>
      </c>
      <c r="K18" s="11">
        <v>2</v>
      </c>
      <c r="U18" s="2">
        <f>中央線快速_東京方面_平日[[#This Row],[発車時刻(Time)]]-$D17</f>
        <v>3.4722222222222099E-3</v>
      </c>
      <c r="V18" s="4">
        <f t="shared" si="0"/>
        <v>0.74265734265734529</v>
      </c>
    </row>
    <row r="19" spans="2:22" x14ac:dyDescent="0.2">
      <c r="B19" s="7" t="s">
        <v>17</v>
      </c>
      <c r="C19" s="1" t="s">
        <v>21</v>
      </c>
      <c r="D19" s="3">
        <v>0.30972222222222223</v>
      </c>
      <c r="E19" t="s">
        <v>26</v>
      </c>
      <c r="F19" s="1">
        <v>7</v>
      </c>
      <c r="G19" s="1"/>
      <c r="H19" s="6" t="s">
        <v>29</v>
      </c>
      <c r="U19" s="2">
        <f>中央線快速_東京方面_平日[[#This Row],[発車時刻(Time)]]-$D18</f>
        <v>2.7777777777778234E-3</v>
      </c>
      <c r="V19" s="4">
        <f t="shared" si="0"/>
        <v>0.92832167832166312</v>
      </c>
    </row>
    <row r="20" spans="2:22" x14ac:dyDescent="0.2">
      <c r="B20" s="7" t="s">
        <v>17</v>
      </c>
      <c r="C20" s="1" t="s">
        <v>21</v>
      </c>
      <c r="D20" s="3">
        <v>0.31319444444444444</v>
      </c>
      <c r="E20" t="s">
        <v>26</v>
      </c>
      <c r="F20" s="1">
        <v>7</v>
      </c>
      <c r="G20" s="1"/>
      <c r="H20" s="6" t="s">
        <v>29</v>
      </c>
      <c r="J20" s="10" t="s">
        <v>67</v>
      </c>
      <c r="K20" t="s">
        <v>66</v>
      </c>
      <c r="L20" s="10"/>
      <c r="M20" s="10"/>
      <c r="N20" s="10"/>
      <c r="O20" s="10"/>
      <c r="P20" s="10"/>
      <c r="Q20" s="10"/>
      <c r="R20" s="10"/>
      <c r="S20" s="10"/>
      <c r="T20" s="10"/>
      <c r="U20" s="15">
        <f>中央線快速_東京方面_平日[[#This Row],[発車時刻(Time)]]-$D19</f>
        <v>3.4722222222222099E-3</v>
      </c>
      <c r="V20" s="4">
        <f t="shared" si="0"/>
        <v>0.74265734265734529</v>
      </c>
    </row>
    <row r="21" spans="2:22" x14ac:dyDescent="0.2">
      <c r="B21" s="7" t="s">
        <v>17</v>
      </c>
      <c r="C21" s="1" t="s">
        <v>21</v>
      </c>
      <c r="D21" s="3">
        <v>0.31527777777777777</v>
      </c>
      <c r="E21" t="s">
        <v>26</v>
      </c>
      <c r="F21" s="1">
        <v>7</v>
      </c>
      <c r="G21" s="1"/>
      <c r="H21" s="6" t="s">
        <v>29</v>
      </c>
      <c r="J21" s="6">
        <v>7</v>
      </c>
      <c r="K21" s="11">
        <v>38</v>
      </c>
      <c r="U21" s="2">
        <f>中央線快速_東京方面_平日[[#This Row],[発車時刻(Time)]]-$D20</f>
        <v>2.0833333333333259E-3</v>
      </c>
      <c r="V21" s="4">
        <f t="shared" si="0"/>
        <v>1.2377622377622421</v>
      </c>
    </row>
    <row r="22" spans="2:22" x14ac:dyDescent="0.2">
      <c r="B22" s="7" t="s">
        <v>17</v>
      </c>
      <c r="C22" s="1" t="s">
        <v>21</v>
      </c>
      <c r="D22" s="3">
        <v>0.31736111111111115</v>
      </c>
      <c r="E22" t="s">
        <v>26</v>
      </c>
      <c r="F22" s="1">
        <v>7</v>
      </c>
      <c r="G22" s="1"/>
      <c r="H22" s="6" t="s">
        <v>29</v>
      </c>
      <c r="J22" s="13" t="s">
        <v>34</v>
      </c>
      <c r="K22" s="11">
        <v>34</v>
      </c>
      <c r="U22" s="2">
        <f>中央線快速_東京方面_平日[[#This Row],[発車時刻(Time)]]-$D21</f>
        <v>2.0833333333333814E-3</v>
      </c>
      <c r="V22" s="4">
        <f t="shared" si="0"/>
        <v>1.2377622377622093</v>
      </c>
    </row>
    <row r="23" spans="2:22" x14ac:dyDescent="0.2">
      <c r="B23" s="7" t="s">
        <v>17</v>
      </c>
      <c r="C23" s="1" t="s">
        <v>23</v>
      </c>
      <c r="D23" s="3">
        <v>0.31875000000000003</v>
      </c>
      <c r="E23" t="s">
        <v>26</v>
      </c>
      <c r="F23" s="1">
        <v>7</v>
      </c>
      <c r="G23" s="1"/>
      <c r="H23" s="6" t="s">
        <v>29</v>
      </c>
      <c r="J23" s="13" t="s">
        <v>59</v>
      </c>
      <c r="K23" s="11">
        <v>4</v>
      </c>
      <c r="U23" s="2">
        <f>中央線快速_東京方面_平日[[#This Row],[発車時刻(Time)]]-$D22</f>
        <v>1.388888888888884E-3</v>
      </c>
      <c r="V23" s="4">
        <f t="shared" si="0"/>
        <v>1.8566433566433633</v>
      </c>
    </row>
    <row r="24" spans="2:22" x14ac:dyDescent="0.2">
      <c r="B24" s="7" t="s">
        <v>17</v>
      </c>
      <c r="C24" s="1" t="s">
        <v>21</v>
      </c>
      <c r="D24" s="3">
        <v>0.32013888888888892</v>
      </c>
      <c r="E24" t="s">
        <v>26</v>
      </c>
      <c r="F24" s="1">
        <v>7</v>
      </c>
      <c r="G24" s="1"/>
      <c r="H24" s="6" t="s">
        <v>29</v>
      </c>
      <c r="J24" s="6">
        <v>8</v>
      </c>
      <c r="K24" s="11">
        <v>248</v>
      </c>
      <c r="U24" s="2">
        <f>中央線快速_東京方面_平日[[#This Row],[発車時刻(Time)]]-$D23</f>
        <v>1.388888888888884E-3</v>
      </c>
      <c r="V24" s="4">
        <f t="shared" si="0"/>
        <v>1.8566433566433633</v>
      </c>
    </row>
    <row r="25" spans="2:22" x14ac:dyDescent="0.2">
      <c r="B25" s="7" t="s">
        <v>17</v>
      </c>
      <c r="C25" s="1" t="s">
        <v>21</v>
      </c>
      <c r="D25" s="3">
        <v>0.32222222222222224</v>
      </c>
      <c r="E25" t="s">
        <v>26</v>
      </c>
      <c r="F25" s="1">
        <v>8</v>
      </c>
      <c r="G25" s="1"/>
      <c r="H25" s="6" t="s">
        <v>29</v>
      </c>
      <c r="J25" s="13" t="s">
        <v>34</v>
      </c>
      <c r="K25" s="11">
        <v>247</v>
      </c>
      <c r="U25" s="2">
        <f>中央線快速_東京方面_平日[[#This Row],[発車時刻(Time)]]-$D24</f>
        <v>2.0833333333333259E-3</v>
      </c>
      <c r="V25" s="4">
        <f t="shared" si="0"/>
        <v>1.2377622377622421</v>
      </c>
    </row>
    <row r="26" spans="2:22" x14ac:dyDescent="0.2">
      <c r="B26" s="7" t="s">
        <v>17</v>
      </c>
      <c r="C26" s="1" t="s">
        <v>21</v>
      </c>
      <c r="D26" s="3">
        <v>0.32430555555555557</v>
      </c>
      <c r="E26" t="s">
        <v>26</v>
      </c>
      <c r="F26" s="1">
        <v>7</v>
      </c>
      <c r="G26" s="1"/>
      <c r="H26" s="6" t="s">
        <v>29</v>
      </c>
      <c r="J26" s="13" t="s">
        <v>59</v>
      </c>
      <c r="K26" s="11">
        <v>1</v>
      </c>
      <c r="U26" s="2">
        <f>中央線快速_東京方面_平日[[#This Row],[発車時刻(Time)]]-$D25</f>
        <v>2.0833333333333259E-3</v>
      </c>
      <c r="V26" s="4">
        <f t="shared" si="0"/>
        <v>1.2377622377622421</v>
      </c>
    </row>
    <row r="27" spans="2:22" x14ac:dyDescent="0.2">
      <c r="B27" s="7" t="s">
        <v>17</v>
      </c>
      <c r="C27" s="1" t="s">
        <v>21</v>
      </c>
      <c r="D27" s="3">
        <v>0.32569444444444445</v>
      </c>
      <c r="E27" t="s">
        <v>26</v>
      </c>
      <c r="F27" s="1">
        <v>8</v>
      </c>
      <c r="G27" s="1"/>
      <c r="H27" s="6" t="s">
        <v>29</v>
      </c>
      <c r="J27" s="6">
        <v>10</v>
      </c>
      <c r="K27" s="11">
        <v>1</v>
      </c>
      <c r="U27" s="2">
        <f>中央線快速_東京方面_平日[[#This Row],[発車時刻(Time)]]-$D26</f>
        <v>1.388888888888884E-3</v>
      </c>
      <c r="V27" s="4">
        <f t="shared" si="0"/>
        <v>1.8566433566433633</v>
      </c>
    </row>
    <row r="28" spans="2:22" x14ac:dyDescent="0.2">
      <c r="B28" s="7" t="s">
        <v>17</v>
      </c>
      <c r="C28" s="1" t="s">
        <v>21</v>
      </c>
      <c r="D28" s="3">
        <v>0.32708333333333334</v>
      </c>
      <c r="E28" t="s">
        <v>26</v>
      </c>
      <c r="F28" s="1">
        <v>7</v>
      </c>
      <c r="G28" s="1"/>
      <c r="H28" s="6" t="s">
        <v>29</v>
      </c>
      <c r="J28" s="13" t="s">
        <v>59</v>
      </c>
      <c r="K28" s="11">
        <v>1</v>
      </c>
      <c r="U28" s="2">
        <f>中央線快速_東京方面_平日[[#This Row],[発車時刻(Time)]]-$D27</f>
        <v>1.388888888888884E-3</v>
      </c>
      <c r="V28" s="4">
        <f t="shared" si="0"/>
        <v>1.8566433566433633</v>
      </c>
    </row>
    <row r="29" spans="2:22" x14ac:dyDescent="0.2">
      <c r="B29" s="7" t="s">
        <v>17</v>
      </c>
      <c r="C29" s="1" t="s">
        <v>23</v>
      </c>
      <c r="D29" s="3">
        <v>0.32847222222222222</v>
      </c>
      <c r="E29" t="s">
        <v>26</v>
      </c>
      <c r="F29" s="1">
        <v>8</v>
      </c>
      <c r="G29" s="1"/>
      <c r="H29" s="6" t="s">
        <v>29</v>
      </c>
      <c r="U29" s="2">
        <f>中央線快速_東京方面_平日[[#This Row],[発車時刻(Time)]]-$D28</f>
        <v>1.388888888888884E-3</v>
      </c>
      <c r="V29" s="4">
        <f t="shared" si="0"/>
        <v>1.8566433566433633</v>
      </c>
    </row>
    <row r="30" spans="2:22" x14ac:dyDescent="0.2">
      <c r="B30" s="7" t="s">
        <v>17</v>
      </c>
      <c r="C30" s="1" t="s">
        <v>21</v>
      </c>
      <c r="D30" s="3">
        <v>0.3298611111111111</v>
      </c>
      <c r="E30" t="s">
        <v>26</v>
      </c>
      <c r="F30" s="1">
        <v>7</v>
      </c>
      <c r="G30" s="1"/>
      <c r="H30" s="6" t="s">
        <v>29</v>
      </c>
      <c r="J30" s="10" t="s">
        <v>65</v>
      </c>
      <c r="K30" t="s">
        <v>62</v>
      </c>
      <c r="U30" s="2">
        <f>中央線快速_東京方面_平日[[#This Row],[発車時刻(Time)]]-$D29</f>
        <v>1.388888888888884E-3</v>
      </c>
      <c r="V30" s="4">
        <f t="shared" si="0"/>
        <v>1.8566433566433633</v>
      </c>
    </row>
    <row r="31" spans="2:22" x14ac:dyDescent="0.2">
      <c r="B31" s="7" t="s">
        <v>17</v>
      </c>
      <c r="C31" s="1" t="s">
        <v>21</v>
      </c>
      <c r="D31" s="3">
        <v>0.33194444444444443</v>
      </c>
      <c r="E31" t="s">
        <v>26</v>
      </c>
      <c r="F31" s="1">
        <v>8</v>
      </c>
      <c r="G31" s="1"/>
      <c r="H31" s="6" t="s">
        <v>29</v>
      </c>
      <c r="J31" s="6" t="s">
        <v>39</v>
      </c>
      <c r="K31" s="11"/>
      <c r="U31" s="2">
        <f>中央線快速_東京方面_平日[[#This Row],[発車時刻(Time)]]-$D30</f>
        <v>2.0833333333333259E-3</v>
      </c>
      <c r="V31" s="4">
        <f t="shared" si="0"/>
        <v>1.2377622377622421</v>
      </c>
    </row>
    <row r="32" spans="2:22" x14ac:dyDescent="0.2">
      <c r="B32" s="7" t="s">
        <v>17</v>
      </c>
      <c r="C32" s="1" t="s">
        <v>21</v>
      </c>
      <c r="D32" s="3">
        <v>0.33333333333333331</v>
      </c>
      <c r="E32" t="s">
        <v>26</v>
      </c>
      <c r="F32" s="1">
        <v>7</v>
      </c>
      <c r="G32" s="1"/>
      <c r="H32" s="6" t="s">
        <v>29</v>
      </c>
      <c r="J32" s="13" t="s">
        <v>34</v>
      </c>
      <c r="K32" s="11">
        <v>2</v>
      </c>
      <c r="U32" s="2">
        <f>中央線快速_東京方面_平日[[#This Row],[発車時刻(Time)]]-$D31</f>
        <v>1.388888888888884E-3</v>
      </c>
      <c r="V32" s="4">
        <f t="shared" si="0"/>
        <v>1.8566433566433633</v>
      </c>
    </row>
    <row r="33" spans="2:22" x14ac:dyDescent="0.2">
      <c r="B33" s="7" t="s">
        <v>17</v>
      </c>
      <c r="C33" s="1" t="s">
        <v>21</v>
      </c>
      <c r="D33" s="3">
        <v>0.3347222222222222</v>
      </c>
      <c r="E33" t="s">
        <v>26</v>
      </c>
      <c r="F33" s="1">
        <v>8</v>
      </c>
      <c r="G33" s="1"/>
      <c r="H33" s="6" t="s">
        <v>29</v>
      </c>
      <c r="J33" s="13" t="s">
        <v>59</v>
      </c>
      <c r="K33" s="11">
        <v>21</v>
      </c>
      <c r="U33" s="2">
        <f>中央線快速_東京方面_平日[[#This Row],[発車時刻(Time)]]-$D32</f>
        <v>1.388888888888884E-3</v>
      </c>
      <c r="V33" s="4">
        <f t="shared" si="0"/>
        <v>1.8566433566433633</v>
      </c>
    </row>
    <row r="34" spans="2:22" x14ac:dyDescent="0.2">
      <c r="B34" s="7" t="s">
        <v>17</v>
      </c>
      <c r="C34" s="1" t="s">
        <v>21</v>
      </c>
      <c r="D34" s="3">
        <v>0.33611111111111108</v>
      </c>
      <c r="E34" t="s">
        <v>26</v>
      </c>
      <c r="F34" s="1">
        <v>7</v>
      </c>
      <c r="G34" s="1"/>
      <c r="H34" s="6" t="s">
        <v>29</v>
      </c>
      <c r="J34" s="6" t="s">
        <v>57</v>
      </c>
      <c r="K34" s="11">
        <v>23</v>
      </c>
      <c r="U34" s="2">
        <f>中央線快速_東京方面_平日[[#This Row],[発車時刻(Time)]]-$D33</f>
        <v>1.388888888888884E-3</v>
      </c>
      <c r="V34" s="4">
        <f t="shared" si="0"/>
        <v>1.8566433566433633</v>
      </c>
    </row>
    <row r="35" spans="2:22" x14ac:dyDescent="0.2">
      <c r="B35" s="7" t="s">
        <v>17</v>
      </c>
      <c r="C35" s="1" t="s">
        <v>21</v>
      </c>
      <c r="D35" s="3">
        <v>0.33749999999999997</v>
      </c>
      <c r="E35" t="s">
        <v>26</v>
      </c>
      <c r="F35" s="1">
        <v>8</v>
      </c>
      <c r="G35" s="1"/>
      <c r="H35" s="6" t="s">
        <v>29</v>
      </c>
      <c r="U35" s="2">
        <f>中央線快速_東京方面_平日[[#This Row],[発車時刻(Time)]]-$D34</f>
        <v>1.388888888888884E-3</v>
      </c>
      <c r="V35" s="4">
        <f t="shared" si="0"/>
        <v>1.8566433566433633</v>
      </c>
    </row>
    <row r="36" spans="2:22" x14ac:dyDescent="0.2">
      <c r="B36" s="7" t="s">
        <v>17</v>
      </c>
      <c r="C36" s="1" t="s">
        <v>21</v>
      </c>
      <c r="D36" s="3">
        <v>0.33958333333333335</v>
      </c>
      <c r="E36" t="s">
        <v>26</v>
      </c>
      <c r="F36" s="1">
        <v>7</v>
      </c>
      <c r="G36" s="1"/>
      <c r="H36" s="6" t="s">
        <v>29</v>
      </c>
      <c r="U36" s="2">
        <f>中央線快速_東京方面_平日[[#This Row],[発車時刻(Time)]]-$D35</f>
        <v>2.0833333333333814E-3</v>
      </c>
      <c r="V36" s="4">
        <f t="shared" si="0"/>
        <v>1.2377622377622093</v>
      </c>
    </row>
    <row r="37" spans="2:22" x14ac:dyDescent="0.2">
      <c r="B37" s="7" t="s">
        <v>17</v>
      </c>
      <c r="C37" s="1" t="s">
        <v>21</v>
      </c>
      <c r="D37" s="3">
        <v>0.34097222222222223</v>
      </c>
      <c r="E37" t="s">
        <v>26</v>
      </c>
      <c r="F37" s="1">
        <v>8</v>
      </c>
      <c r="G37" s="1"/>
      <c r="H37" s="6" t="s">
        <v>29</v>
      </c>
      <c r="U37" s="2">
        <f>中央線快速_東京方面_平日[[#This Row],[発車時刻(Time)]]-$D36</f>
        <v>1.388888888888884E-3</v>
      </c>
      <c r="V37" s="4">
        <f t="shared" si="0"/>
        <v>1.8566433566433633</v>
      </c>
    </row>
    <row r="38" spans="2:22" x14ac:dyDescent="0.2">
      <c r="B38" s="7" t="s">
        <v>17</v>
      </c>
      <c r="C38" s="1" t="s">
        <v>21</v>
      </c>
      <c r="D38" s="3">
        <v>0.34236111111111112</v>
      </c>
      <c r="E38" t="s">
        <v>26</v>
      </c>
      <c r="F38" s="1">
        <v>7</v>
      </c>
      <c r="G38" s="1"/>
      <c r="H38" s="6" t="s">
        <v>29</v>
      </c>
      <c r="U38" s="2">
        <f>中央線快速_東京方面_平日[[#This Row],[発車時刻(Time)]]-$D37</f>
        <v>1.388888888888884E-3</v>
      </c>
      <c r="V38" s="4">
        <f t="shared" si="0"/>
        <v>1.8566433566433633</v>
      </c>
    </row>
    <row r="39" spans="2:22" x14ac:dyDescent="0.2">
      <c r="B39" s="7" t="s">
        <v>17</v>
      </c>
      <c r="C39" s="1" t="s">
        <v>21</v>
      </c>
      <c r="D39" s="3">
        <v>0.34375</v>
      </c>
      <c r="E39" t="s">
        <v>26</v>
      </c>
      <c r="F39" s="1">
        <v>8</v>
      </c>
      <c r="G39" s="1"/>
      <c r="H39" s="6" t="s">
        <v>29</v>
      </c>
      <c r="U39" s="2">
        <f>中央線快速_東京方面_平日[[#This Row],[発車時刻(Time)]]-$D38</f>
        <v>1.388888888888884E-3</v>
      </c>
      <c r="V39" s="4">
        <f t="shared" si="0"/>
        <v>1.8566433566433633</v>
      </c>
    </row>
    <row r="40" spans="2:22" x14ac:dyDescent="0.2">
      <c r="B40" s="7" t="s">
        <v>17</v>
      </c>
      <c r="C40" s="1" t="s">
        <v>21</v>
      </c>
      <c r="D40" s="3">
        <v>0.34513888888888888</v>
      </c>
      <c r="E40" t="s">
        <v>26</v>
      </c>
      <c r="F40" s="1">
        <v>7</v>
      </c>
      <c r="G40" s="1"/>
      <c r="H40" s="6" t="s">
        <v>29</v>
      </c>
      <c r="U40" s="2">
        <f>中央線快速_東京方面_平日[[#This Row],[発車時刻(Time)]]-$D39</f>
        <v>1.388888888888884E-3</v>
      </c>
      <c r="V40" s="4">
        <f t="shared" si="0"/>
        <v>1.8566433566433633</v>
      </c>
    </row>
    <row r="41" spans="2:22" x14ac:dyDescent="0.2">
      <c r="B41" s="7" t="s">
        <v>17</v>
      </c>
      <c r="C41" s="1" t="s">
        <v>21</v>
      </c>
      <c r="D41" s="3">
        <v>0.34652777777777777</v>
      </c>
      <c r="E41" t="s">
        <v>26</v>
      </c>
      <c r="F41" s="1">
        <v>8</v>
      </c>
      <c r="G41" s="1"/>
      <c r="H41" s="6" t="s">
        <v>29</v>
      </c>
      <c r="U41" s="2">
        <f>中央線快速_東京方面_平日[[#This Row],[発車時刻(Time)]]-$D40</f>
        <v>1.388888888888884E-3</v>
      </c>
      <c r="V41" s="4">
        <f t="shared" si="0"/>
        <v>1.8566433566433633</v>
      </c>
    </row>
    <row r="42" spans="2:22" x14ac:dyDescent="0.2">
      <c r="B42" s="7" t="s">
        <v>17</v>
      </c>
      <c r="C42" s="1" t="s">
        <v>21</v>
      </c>
      <c r="D42" s="3">
        <v>0.34861111111111115</v>
      </c>
      <c r="E42" t="s">
        <v>26</v>
      </c>
      <c r="F42" s="1">
        <v>7</v>
      </c>
      <c r="G42" s="1"/>
      <c r="H42" s="6" t="s">
        <v>29</v>
      </c>
      <c r="U42" s="2">
        <f>中央線快速_東京方面_平日[[#This Row],[発車時刻(Time)]]-$D41</f>
        <v>2.0833333333333814E-3</v>
      </c>
      <c r="V42" s="4">
        <f t="shared" si="0"/>
        <v>1.2377622377622093</v>
      </c>
    </row>
    <row r="43" spans="2:22" x14ac:dyDescent="0.2">
      <c r="B43" s="7" t="s">
        <v>17</v>
      </c>
      <c r="C43" s="1" t="s">
        <v>21</v>
      </c>
      <c r="D43" s="3">
        <v>0.35000000000000003</v>
      </c>
      <c r="E43" t="s">
        <v>26</v>
      </c>
      <c r="F43" s="1">
        <v>8</v>
      </c>
      <c r="G43" s="1"/>
      <c r="H43" s="6" t="s">
        <v>29</v>
      </c>
      <c r="U43" s="2">
        <f>中央線快速_東京方面_平日[[#This Row],[発車時刻(Time)]]-$D42</f>
        <v>1.388888888888884E-3</v>
      </c>
      <c r="V43" s="4">
        <f t="shared" si="0"/>
        <v>1.8566433566433633</v>
      </c>
    </row>
    <row r="44" spans="2:22" x14ac:dyDescent="0.2">
      <c r="B44" s="7" t="s">
        <v>17</v>
      </c>
      <c r="C44" s="1" t="s">
        <v>21</v>
      </c>
      <c r="D44" s="3">
        <v>0.35138888888888892</v>
      </c>
      <c r="E44" t="s">
        <v>26</v>
      </c>
      <c r="F44" s="1">
        <v>7</v>
      </c>
      <c r="G44" s="1"/>
      <c r="H44" s="6" t="s">
        <v>29</v>
      </c>
      <c r="U44" s="2">
        <f>中央線快速_東京方面_平日[[#This Row],[発車時刻(Time)]]-$D43</f>
        <v>1.388888888888884E-3</v>
      </c>
      <c r="V44" s="4">
        <f t="shared" si="0"/>
        <v>1.8566433566433633</v>
      </c>
    </row>
    <row r="45" spans="2:22" x14ac:dyDescent="0.2">
      <c r="B45" s="7" t="s">
        <v>17</v>
      </c>
      <c r="C45" s="1" t="s">
        <v>21</v>
      </c>
      <c r="D45" s="3">
        <v>0.3527777777777778</v>
      </c>
      <c r="E45" t="s">
        <v>26</v>
      </c>
      <c r="F45" s="1">
        <v>8</v>
      </c>
      <c r="G45" s="1"/>
      <c r="H45" s="6" t="s">
        <v>29</v>
      </c>
      <c r="U45" s="2">
        <f>中央線快速_東京方面_平日[[#This Row],[発車時刻(Time)]]-$D44</f>
        <v>1.388888888888884E-3</v>
      </c>
      <c r="V45" s="4">
        <f t="shared" si="0"/>
        <v>1.8566433566433633</v>
      </c>
    </row>
    <row r="46" spans="2:22" x14ac:dyDescent="0.2">
      <c r="B46" s="7" t="s">
        <v>17</v>
      </c>
      <c r="C46" s="1" t="s">
        <v>21</v>
      </c>
      <c r="D46" s="3">
        <v>0.35416666666666669</v>
      </c>
      <c r="E46" t="s">
        <v>26</v>
      </c>
      <c r="F46" s="1">
        <v>7</v>
      </c>
      <c r="G46" s="1"/>
      <c r="H46" s="6" t="s">
        <v>29</v>
      </c>
      <c r="U46" s="2">
        <f>中央線快速_東京方面_平日[[#This Row],[発車時刻(Time)]]-$D45</f>
        <v>1.388888888888884E-3</v>
      </c>
      <c r="V46" s="4">
        <f t="shared" si="0"/>
        <v>1.8566433566433633</v>
      </c>
    </row>
    <row r="47" spans="2:22" x14ac:dyDescent="0.2">
      <c r="B47" s="7" t="s">
        <v>17</v>
      </c>
      <c r="C47" s="1" t="s">
        <v>21</v>
      </c>
      <c r="D47" s="3">
        <v>0.35555555555555557</v>
      </c>
      <c r="E47" t="s">
        <v>26</v>
      </c>
      <c r="F47" s="1">
        <v>8</v>
      </c>
      <c r="G47" s="1"/>
      <c r="H47" s="6" t="s">
        <v>29</v>
      </c>
      <c r="U47" s="2">
        <f>中央線快速_東京方面_平日[[#This Row],[発車時刻(Time)]]-$D46</f>
        <v>1.388888888888884E-3</v>
      </c>
      <c r="V47" s="4">
        <f t="shared" si="0"/>
        <v>1.8566433566433633</v>
      </c>
    </row>
    <row r="48" spans="2:22" x14ac:dyDescent="0.2">
      <c r="B48" s="7" t="s">
        <v>17</v>
      </c>
      <c r="C48" s="1" t="s">
        <v>21</v>
      </c>
      <c r="D48" s="3">
        <v>0.3576388888888889</v>
      </c>
      <c r="E48" t="s">
        <v>26</v>
      </c>
      <c r="F48" s="1">
        <v>7</v>
      </c>
      <c r="G48" s="1"/>
      <c r="H48" s="6" t="s">
        <v>29</v>
      </c>
      <c r="U48" s="2">
        <f>中央線快速_東京方面_平日[[#This Row],[発車時刻(Time)]]-$D47</f>
        <v>2.0833333333333259E-3</v>
      </c>
      <c r="V48" s="4">
        <f t="shared" si="0"/>
        <v>1.2377622377622421</v>
      </c>
    </row>
    <row r="49" spans="2:22" x14ac:dyDescent="0.2">
      <c r="B49" s="7" t="s">
        <v>17</v>
      </c>
      <c r="C49" s="1" t="s">
        <v>21</v>
      </c>
      <c r="D49" s="3">
        <v>0.35902777777777778</v>
      </c>
      <c r="E49" t="s">
        <v>26</v>
      </c>
      <c r="F49" s="1">
        <v>8</v>
      </c>
      <c r="G49" s="1"/>
      <c r="H49" s="6" t="s">
        <v>29</v>
      </c>
      <c r="U49" s="2">
        <f>中央線快速_東京方面_平日[[#This Row],[発車時刻(Time)]]-$D48</f>
        <v>1.388888888888884E-3</v>
      </c>
      <c r="V49" s="4">
        <f t="shared" si="0"/>
        <v>1.8566433566433633</v>
      </c>
    </row>
    <row r="50" spans="2:22" x14ac:dyDescent="0.2">
      <c r="B50" s="7" t="s">
        <v>17</v>
      </c>
      <c r="C50" s="1" t="s">
        <v>21</v>
      </c>
      <c r="D50" s="3">
        <v>0.36041666666666666</v>
      </c>
      <c r="E50" t="s">
        <v>26</v>
      </c>
      <c r="F50" s="1">
        <v>7</v>
      </c>
      <c r="G50" s="1"/>
      <c r="H50" s="6" t="s">
        <v>29</v>
      </c>
      <c r="U50" s="2">
        <f>中央線快速_東京方面_平日[[#This Row],[発車時刻(Time)]]-$D49</f>
        <v>1.388888888888884E-3</v>
      </c>
      <c r="V50" s="4">
        <f t="shared" si="0"/>
        <v>1.8566433566433633</v>
      </c>
    </row>
    <row r="51" spans="2:22" x14ac:dyDescent="0.2">
      <c r="B51" s="7" t="s">
        <v>17</v>
      </c>
      <c r="C51" s="1" t="s">
        <v>21</v>
      </c>
      <c r="D51" s="3">
        <v>0.36180555555555555</v>
      </c>
      <c r="E51" t="s">
        <v>26</v>
      </c>
      <c r="F51" s="1">
        <v>8</v>
      </c>
      <c r="G51" s="1"/>
      <c r="H51" s="6" t="s">
        <v>29</v>
      </c>
      <c r="U51" s="2">
        <f>中央線快速_東京方面_平日[[#This Row],[発車時刻(Time)]]-$D50</f>
        <v>1.388888888888884E-3</v>
      </c>
      <c r="V51" s="4">
        <f t="shared" si="0"/>
        <v>1.8566433566433633</v>
      </c>
    </row>
    <row r="52" spans="2:22" x14ac:dyDescent="0.2">
      <c r="B52" s="7" t="s">
        <v>17</v>
      </c>
      <c r="C52" s="1" t="s">
        <v>23</v>
      </c>
      <c r="D52" s="3">
        <v>0.36319444444444443</v>
      </c>
      <c r="E52" t="s">
        <v>26</v>
      </c>
      <c r="F52" s="1">
        <v>7</v>
      </c>
      <c r="G52" s="1"/>
      <c r="H52" s="6" t="s">
        <v>29</v>
      </c>
      <c r="U52" s="2">
        <f>中央線快速_東京方面_平日[[#This Row],[発車時刻(Time)]]-$D51</f>
        <v>1.388888888888884E-3</v>
      </c>
      <c r="V52" s="4">
        <f t="shared" si="0"/>
        <v>1.8566433566433633</v>
      </c>
    </row>
    <row r="53" spans="2:22" x14ac:dyDescent="0.2">
      <c r="B53" s="7" t="s">
        <v>17</v>
      </c>
      <c r="C53" s="1" t="s">
        <v>21</v>
      </c>
      <c r="D53" s="3">
        <v>0.36458333333333331</v>
      </c>
      <c r="E53" t="s">
        <v>26</v>
      </c>
      <c r="F53" s="1">
        <v>8</v>
      </c>
      <c r="G53" s="1"/>
      <c r="H53" s="6" t="s">
        <v>29</v>
      </c>
      <c r="U53" s="2">
        <f>中央線快速_東京方面_平日[[#This Row],[発車時刻(Time)]]-$D52</f>
        <v>1.388888888888884E-3</v>
      </c>
      <c r="V53" s="4">
        <f t="shared" si="0"/>
        <v>1.8566433566433633</v>
      </c>
    </row>
    <row r="54" spans="2:22" x14ac:dyDescent="0.2">
      <c r="B54" s="7" t="s">
        <v>17</v>
      </c>
      <c r="C54" s="1" t="s">
        <v>21</v>
      </c>
      <c r="D54" s="3">
        <v>0.3659722222222222</v>
      </c>
      <c r="E54" t="s">
        <v>26</v>
      </c>
      <c r="F54" s="1">
        <v>7</v>
      </c>
      <c r="G54" s="1"/>
      <c r="H54" s="6" t="s">
        <v>29</v>
      </c>
      <c r="U54" s="2">
        <f>中央線快速_東京方面_平日[[#This Row],[発車時刻(Time)]]-$D53</f>
        <v>1.388888888888884E-3</v>
      </c>
      <c r="V54" s="4">
        <f t="shared" si="0"/>
        <v>1.8566433566433633</v>
      </c>
    </row>
    <row r="55" spans="2:22" x14ac:dyDescent="0.2">
      <c r="B55" s="7" t="s">
        <v>17</v>
      </c>
      <c r="C55" s="1" t="s">
        <v>21</v>
      </c>
      <c r="D55" s="3">
        <v>0.36736111111111108</v>
      </c>
      <c r="E55" t="s">
        <v>26</v>
      </c>
      <c r="F55" s="1">
        <v>8</v>
      </c>
      <c r="G55" s="1"/>
      <c r="H55" s="6" t="s">
        <v>29</v>
      </c>
      <c r="U55" s="2">
        <f>中央線快速_東京方面_平日[[#This Row],[発車時刻(Time)]]-$D54</f>
        <v>1.388888888888884E-3</v>
      </c>
      <c r="V55" s="4">
        <f t="shared" si="0"/>
        <v>1.8566433566433633</v>
      </c>
    </row>
    <row r="56" spans="2:22" x14ac:dyDescent="0.2">
      <c r="B56" s="7" t="s">
        <v>17</v>
      </c>
      <c r="C56" s="1" t="s">
        <v>21</v>
      </c>
      <c r="D56" s="3">
        <v>0.36874999999999997</v>
      </c>
      <c r="E56" t="s">
        <v>26</v>
      </c>
      <c r="F56" s="1">
        <v>7</v>
      </c>
      <c r="G56" s="1"/>
      <c r="H56" s="6" t="s">
        <v>29</v>
      </c>
      <c r="U56" s="2">
        <f>中央線快速_東京方面_平日[[#This Row],[発車時刻(Time)]]-$D55</f>
        <v>1.388888888888884E-3</v>
      </c>
      <c r="V56" s="4">
        <f t="shared" si="0"/>
        <v>1.8566433566433633</v>
      </c>
    </row>
    <row r="57" spans="2:22" x14ac:dyDescent="0.2">
      <c r="B57" s="7" t="s">
        <v>17</v>
      </c>
      <c r="C57" s="1" t="s">
        <v>21</v>
      </c>
      <c r="D57" s="3">
        <v>0.37013888888888885</v>
      </c>
      <c r="E57" t="s">
        <v>26</v>
      </c>
      <c r="F57" s="1">
        <v>8</v>
      </c>
      <c r="G57" s="1"/>
      <c r="H57" s="6" t="s">
        <v>29</v>
      </c>
      <c r="U57" s="2">
        <f>中央線快速_東京方面_平日[[#This Row],[発車時刻(Time)]]-$D56</f>
        <v>1.388888888888884E-3</v>
      </c>
      <c r="V57" s="4">
        <f t="shared" si="0"/>
        <v>1.8566433566433633</v>
      </c>
    </row>
    <row r="58" spans="2:22" x14ac:dyDescent="0.2">
      <c r="B58" s="7" t="s">
        <v>17</v>
      </c>
      <c r="C58" s="1" t="s">
        <v>21</v>
      </c>
      <c r="D58" s="3">
        <v>0.37152777777777773</v>
      </c>
      <c r="E58" t="s">
        <v>26</v>
      </c>
      <c r="F58" s="1">
        <v>7</v>
      </c>
      <c r="G58" s="1"/>
      <c r="H58" s="6" t="s">
        <v>29</v>
      </c>
      <c r="U58" s="2">
        <f>中央線快速_東京方面_平日[[#This Row],[発車時刻(Time)]]-$D57</f>
        <v>1.388888888888884E-3</v>
      </c>
      <c r="V58" s="4">
        <f t="shared" si="0"/>
        <v>1.8566433566433633</v>
      </c>
    </row>
    <row r="59" spans="2:22" x14ac:dyDescent="0.2">
      <c r="B59" s="7" t="s">
        <v>17</v>
      </c>
      <c r="C59" s="1" t="s">
        <v>23</v>
      </c>
      <c r="D59" s="3">
        <v>0.37291666666666662</v>
      </c>
      <c r="E59" t="s">
        <v>26</v>
      </c>
      <c r="F59" s="1">
        <v>8</v>
      </c>
      <c r="G59" s="1"/>
      <c r="H59" s="6" t="s">
        <v>29</v>
      </c>
      <c r="U59" s="2">
        <f>中央線快速_東京方面_平日[[#This Row],[発車時刻(Time)]]-$D58</f>
        <v>1.388888888888884E-3</v>
      </c>
      <c r="V59" s="4">
        <f t="shared" si="0"/>
        <v>1.8566433566433633</v>
      </c>
    </row>
    <row r="60" spans="2:22" x14ac:dyDescent="0.2">
      <c r="B60" s="7" t="s">
        <v>17</v>
      </c>
      <c r="C60" s="1" t="s">
        <v>21</v>
      </c>
      <c r="D60" s="3">
        <v>0.3743055555555555</v>
      </c>
      <c r="E60" t="s">
        <v>26</v>
      </c>
      <c r="F60" s="1">
        <v>7</v>
      </c>
      <c r="G60" s="1"/>
      <c r="H60" s="6" t="s">
        <v>29</v>
      </c>
      <c r="U60" s="2">
        <f>中央線快速_東京方面_平日[[#This Row],[発車時刻(Time)]]-$D59</f>
        <v>1.388888888888884E-3</v>
      </c>
      <c r="V60" s="4">
        <f t="shared" si="0"/>
        <v>1.8566433566433633</v>
      </c>
    </row>
    <row r="61" spans="2:22" x14ac:dyDescent="0.2">
      <c r="B61" s="7" t="s">
        <v>17</v>
      </c>
      <c r="C61" s="1" t="s">
        <v>21</v>
      </c>
      <c r="D61" s="3">
        <v>0.3756944444444445</v>
      </c>
      <c r="E61" t="s">
        <v>26</v>
      </c>
      <c r="F61" s="1">
        <v>8</v>
      </c>
      <c r="G61" s="1"/>
      <c r="H61" s="6" t="s">
        <v>29</v>
      </c>
      <c r="U61" s="2">
        <f>中央線快速_東京方面_平日[[#This Row],[発車時刻(Time)]]-$D60</f>
        <v>1.388888888888995E-3</v>
      </c>
      <c r="V61" s="4">
        <f t="shared" si="0"/>
        <v>1.8566433566432148</v>
      </c>
    </row>
    <row r="62" spans="2:22" x14ac:dyDescent="0.2">
      <c r="B62" s="7" t="s">
        <v>17</v>
      </c>
      <c r="C62" s="1" t="s">
        <v>21</v>
      </c>
      <c r="D62" s="3">
        <v>0.37708333333333338</v>
      </c>
      <c r="E62" t="s">
        <v>26</v>
      </c>
      <c r="F62" s="1">
        <v>7</v>
      </c>
      <c r="G62" s="1"/>
      <c r="H62" s="6" t="s">
        <v>29</v>
      </c>
      <c r="U62" s="2">
        <f>中央線快速_東京方面_平日[[#This Row],[発車時刻(Time)]]-$D61</f>
        <v>1.388888888888884E-3</v>
      </c>
      <c r="V62" s="4">
        <f t="shared" si="0"/>
        <v>1.8566433566433633</v>
      </c>
    </row>
    <row r="63" spans="2:22" x14ac:dyDescent="0.2">
      <c r="B63" s="7" t="s">
        <v>17</v>
      </c>
      <c r="C63" s="1" t="s">
        <v>21</v>
      </c>
      <c r="D63" s="3">
        <v>0.37916666666666665</v>
      </c>
      <c r="E63" t="s">
        <v>26</v>
      </c>
      <c r="F63" s="1">
        <v>8</v>
      </c>
      <c r="G63" s="1"/>
      <c r="H63" s="6" t="s">
        <v>29</v>
      </c>
      <c r="U63" s="2">
        <f>中央線快速_東京方面_平日[[#This Row],[発車時刻(Time)]]-$D62</f>
        <v>2.0833333333332704E-3</v>
      </c>
      <c r="V63" s="4">
        <f t="shared" si="0"/>
        <v>1.2377622377622752</v>
      </c>
    </row>
    <row r="64" spans="2:22" x14ac:dyDescent="0.2">
      <c r="B64" s="7" t="s">
        <v>17</v>
      </c>
      <c r="C64" s="1" t="s">
        <v>21</v>
      </c>
      <c r="D64" s="3">
        <v>0.38055555555555554</v>
      </c>
      <c r="E64" t="s">
        <v>26</v>
      </c>
      <c r="F64" s="1">
        <v>7</v>
      </c>
      <c r="G64" s="1"/>
      <c r="H64" s="6" t="s">
        <v>29</v>
      </c>
      <c r="U64" s="2">
        <f>中央線快速_東京方面_平日[[#This Row],[発車時刻(Time)]]-$D63</f>
        <v>1.388888888888884E-3</v>
      </c>
      <c r="V64" s="4">
        <f t="shared" si="0"/>
        <v>1.8566433566433633</v>
      </c>
    </row>
    <row r="65" spans="2:22" x14ac:dyDescent="0.2">
      <c r="B65" s="7" t="s">
        <v>17</v>
      </c>
      <c r="C65" s="1" t="s">
        <v>21</v>
      </c>
      <c r="D65" s="3">
        <v>0.38194444444444442</v>
      </c>
      <c r="E65" t="s">
        <v>26</v>
      </c>
      <c r="F65" s="1">
        <v>8</v>
      </c>
      <c r="G65" s="1"/>
      <c r="H65" s="6" t="s">
        <v>29</v>
      </c>
      <c r="U65" s="2">
        <f>中央線快速_東京方面_平日[[#This Row],[発車時刻(Time)]]-$D64</f>
        <v>1.388888888888884E-3</v>
      </c>
      <c r="V65" s="4">
        <f t="shared" si="0"/>
        <v>1.8566433566433633</v>
      </c>
    </row>
    <row r="66" spans="2:22" x14ac:dyDescent="0.2">
      <c r="B66" s="8" t="s">
        <v>18</v>
      </c>
      <c r="C66" s="1" t="s">
        <v>24</v>
      </c>
      <c r="D66" s="3">
        <v>0.38472222222222219</v>
      </c>
      <c r="E66" t="s">
        <v>26</v>
      </c>
      <c r="F66" s="1">
        <v>7</v>
      </c>
      <c r="G66" s="1"/>
      <c r="H66" s="6" t="s">
        <v>30</v>
      </c>
      <c r="U66" s="2">
        <f>中央線快速_東京方面_平日[[#This Row],[発車時刻(Time)]]-$D65</f>
        <v>2.7777777777777679E-3</v>
      </c>
      <c r="V66" s="4">
        <f t="shared" si="0"/>
        <v>0.92832167832168166</v>
      </c>
    </row>
    <row r="67" spans="2:22" x14ac:dyDescent="0.2">
      <c r="B67" s="7" t="s">
        <v>17</v>
      </c>
      <c r="C67" s="1" t="s">
        <v>21</v>
      </c>
      <c r="D67" s="3">
        <v>0.38611111111111113</v>
      </c>
      <c r="E67" t="s">
        <v>26</v>
      </c>
      <c r="F67" s="1">
        <v>8</v>
      </c>
      <c r="G67" s="1"/>
      <c r="H67" s="6" t="s">
        <v>29</v>
      </c>
      <c r="U67" s="2">
        <f>中央線快速_東京方面_平日[[#This Row],[発車時刻(Time)]]-$D66</f>
        <v>1.3888888888889395E-3</v>
      </c>
      <c r="V67" s="4">
        <f t="shared" si="0"/>
        <v>1.8566433566432889</v>
      </c>
    </row>
    <row r="68" spans="2:22" x14ac:dyDescent="0.2">
      <c r="B68" s="7" t="s">
        <v>17</v>
      </c>
      <c r="C68" s="1" t="s">
        <v>21</v>
      </c>
      <c r="D68" s="3">
        <v>0.38819444444444445</v>
      </c>
      <c r="E68" t="s">
        <v>26</v>
      </c>
      <c r="F68" s="1">
        <v>7</v>
      </c>
      <c r="G68" s="1"/>
      <c r="H68" s="6" t="s">
        <v>29</v>
      </c>
      <c r="U68" s="2">
        <f>中央線快速_東京方面_平日[[#This Row],[発車時刻(Time)]]-$D67</f>
        <v>2.0833333333333259E-3</v>
      </c>
      <c r="V68" s="4">
        <f t="shared" ref="V68:V131" si="1">IFERROR((1/(U68/$K$14)), 0)</f>
        <v>1.2377622377622421</v>
      </c>
    </row>
    <row r="69" spans="2:22" x14ac:dyDescent="0.2">
      <c r="B69" s="7" t="s">
        <v>17</v>
      </c>
      <c r="C69" s="1" t="s">
        <v>23</v>
      </c>
      <c r="D69" s="3">
        <v>0.38958333333333334</v>
      </c>
      <c r="E69" t="s">
        <v>26</v>
      </c>
      <c r="F69" s="1">
        <v>8</v>
      </c>
      <c r="G69" s="1"/>
      <c r="H69" s="6" t="s">
        <v>29</v>
      </c>
      <c r="U69" s="2">
        <f>中央線快速_東京方面_平日[[#This Row],[発車時刻(Time)]]-$D68</f>
        <v>1.388888888888884E-3</v>
      </c>
      <c r="V69" s="4">
        <f t="shared" si="1"/>
        <v>1.8566433566433633</v>
      </c>
    </row>
    <row r="70" spans="2:22" x14ac:dyDescent="0.2">
      <c r="B70" s="7" t="s">
        <v>17</v>
      </c>
      <c r="C70" s="1" t="s">
        <v>21</v>
      </c>
      <c r="D70" s="3">
        <v>0.39097222222222222</v>
      </c>
      <c r="E70" t="s">
        <v>26</v>
      </c>
      <c r="F70" s="1">
        <v>7</v>
      </c>
      <c r="G70" s="1"/>
      <c r="H70" s="6" t="s">
        <v>29</v>
      </c>
      <c r="U70" s="2">
        <f>中央線快速_東京方面_平日[[#This Row],[発車時刻(Time)]]-$D69</f>
        <v>1.388888888888884E-3</v>
      </c>
      <c r="V70" s="4">
        <f t="shared" si="1"/>
        <v>1.8566433566433633</v>
      </c>
    </row>
    <row r="71" spans="2:22" x14ac:dyDescent="0.2">
      <c r="B71" s="7" t="s">
        <v>17</v>
      </c>
      <c r="C71" s="1" t="s">
        <v>21</v>
      </c>
      <c r="D71" s="3">
        <v>0.3923611111111111</v>
      </c>
      <c r="E71" t="s">
        <v>26</v>
      </c>
      <c r="F71" s="1">
        <v>8</v>
      </c>
      <c r="G71" s="1"/>
      <c r="H71" s="6" t="s">
        <v>29</v>
      </c>
      <c r="U71" s="2">
        <f>中央線快速_東京方面_平日[[#This Row],[発車時刻(Time)]]-$D70</f>
        <v>1.388888888888884E-3</v>
      </c>
      <c r="V71" s="4">
        <f t="shared" si="1"/>
        <v>1.8566433566433633</v>
      </c>
    </row>
    <row r="72" spans="2:22" x14ac:dyDescent="0.2">
      <c r="B72" s="7" t="s">
        <v>17</v>
      </c>
      <c r="C72" s="1" t="s">
        <v>21</v>
      </c>
      <c r="D72" s="3">
        <v>0.39583333333333331</v>
      </c>
      <c r="E72" t="s">
        <v>26</v>
      </c>
      <c r="F72" s="1">
        <v>7</v>
      </c>
      <c r="G72" s="1"/>
      <c r="H72" s="6" t="s">
        <v>29</v>
      </c>
      <c r="U72" s="2">
        <f>中央線快速_東京方面_平日[[#This Row],[発車時刻(Time)]]-$D71</f>
        <v>3.4722222222222099E-3</v>
      </c>
      <c r="V72" s="4">
        <f t="shared" si="1"/>
        <v>0.74265734265734529</v>
      </c>
    </row>
    <row r="73" spans="2:22" x14ac:dyDescent="0.2">
      <c r="B73" s="7" t="s">
        <v>17</v>
      </c>
      <c r="C73" s="1" t="s">
        <v>21</v>
      </c>
      <c r="D73" s="3">
        <v>0.3979166666666667</v>
      </c>
      <c r="E73" t="s">
        <v>26</v>
      </c>
      <c r="F73" s="1">
        <v>8</v>
      </c>
      <c r="G73" s="1"/>
      <c r="H73" s="6" t="s">
        <v>29</v>
      </c>
      <c r="U73" s="2">
        <f>中央線快速_東京方面_平日[[#This Row],[発車時刻(Time)]]-$D72</f>
        <v>2.0833333333333814E-3</v>
      </c>
      <c r="V73" s="4">
        <f t="shared" si="1"/>
        <v>1.2377622377622093</v>
      </c>
    </row>
    <row r="74" spans="2:22" x14ac:dyDescent="0.2">
      <c r="B74" s="7" t="s">
        <v>17</v>
      </c>
      <c r="C74" s="1" t="s">
        <v>21</v>
      </c>
      <c r="D74" s="3">
        <v>0.40069444444444446</v>
      </c>
      <c r="E74" t="s">
        <v>26</v>
      </c>
      <c r="F74" s="1">
        <v>8</v>
      </c>
      <c r="G74" s="1"/>
      <c r="H74" s="6" t="s">
        <v>29</v>
      </c>
      <c r="U74" s="2">
        <f>中央線快速_東京方面_平日[[#This Row],[発車時刻(Time)]]-$D73</f>
        <v>2.7777777777777679E-3</v>
      </c>
      <c r="V74" s="4">
        <f t="shared" si="1"/>
        <v>0.92832167832168166</v>
      </c>
    </row>
    <row r="75" spans="2:22" x14ac:dyDescent="0.2">
      <c r="B75" s="7" t="s">
        <v>17</v>
      </c>
      <c r="C75" s="1" t="s">
        <v>21</v>
      </c>
      <c r="D75" s="3">
        <v>0.40347222222222223</v>
      </c>
      <c r="E75" t="s">
        <v>26</v>
      </c>
      <c r="F75" s="1">
        <v>8</v>
      </c>
      <c r="G75" s="1"/>
      <c r="H75" s="6" t="s">
        <v>29</v>
      </c>
      <c r="U75" s="2">
        <f>中央線快速_東京方面_平日[[#This Row],[発車時刻(Time)]]-$D74</f>
        <v>2.7777777777777679E-3</v>
      </c>
      <c r="V75" s="4">
        <f t="shared" si="1"/>
        <v>0.92832167832168166</v>
      </c>
    </row>
    <row r="76" spans="2:22" x14ac:dyDescent="0.2">
      <c r="B76" s="7" t="s">
        <v>17</v>
      </c>
      <c r="C76" s="1" t="s">
        <v>21</v>
      </c>
      <c r="D76" s="3">
        <v>0.4055555555555555</v>
      </c>
      <c r="E76" t="s">
        <v>26</v>
      </c>
      <c r="F76" s="1">
        <v>8</v>
      </c>
      <c r="G76" s="1"/>
      <c r="H76" s="6" t="s">
        <v>29</v>
      </c>
      <c r="U76" s="2">
        <f>中央線快速_東京方面_平日[[#This Row],[発車時刻(Time)]]-$D75</f>
        <v>2.0833333333332704E-3</v>
      </c>
      <c r="V76" s="4">
        <f t="shared" si="1"/>
        <v>1.2377622377622752</v>
      </c>
    </row>
    <row r="77" spans="2:22" x14ac:dyDescent="0.2">
      <c r="B77" s="7" t="s">
        <v>17</v>
      </c>
      <c r="C77" s="1" t="s">
        <v>22</v>
      </c>
      <c r="D77" s="3">
        <v>0.40763888888888888</v>
      </c>
      <c r="E77" t="s">
        <v>26</v>
      </c>
      <c r="F77" s="1">
        <v>8</v>
      </c>
      <c r="G77" s="1"/>
      <c r="H77" s="6" t="s">
        <v>29</v>
      </c>
      <c r="U77" s="2">
        <f>中央線快速_東京方面_平日[[#This Row],[発車時刻(Time)]]-$D76</f>
        <v>2.0833333333333814E-3</v>
      </c>
      <c r="V77" s="4">
        <f t="shared" si="1"/>
        <v>1.2377622377622093</v>
      </c>
    </row>
    <row r="78" spans="2:22" x14ac:dyDescent="0.2">
      <c r="B78" s="7" t="s">
        <v>17</v>
      </c>
      <c r="C78" s="1" t="s">
        <v>21</v>
      </c>
      <c r="D78" s="3">
        <v>0.41041666666666665</v>
      </c>
      <c r="E78" t="s">
        <v>26</v>
      </c>
      <c r="F78" s="1">
        <v>8</v>
      </c>
      <c r="G78" s="1"/>
      <c r="H78" s="6" t="s">
        <v>29</v>
      </c>
      <c r="U78" s="2">
        <f>中央線快速_東京方面_平日[[#This Row],[発車時刻(Time)]]-$D77</f>
        <v>2.7777777777777679E-3</v>
      </c>
      <c r="V78" s="4">
        <f t="shared" si="1"/>
        <v>0.92832167832168166</v>
      </c>
    </row>
    <row r="79" spans="2:22" x14ac:dyDescent="0.2">
      <c r="B79" s="8" t="s">
        <v>18</v>
      </c>
      <c r="C79" s="1" t="s">
        <v>24</v>
      </c>
      <c r="D79" s="3">
        <v>0.41388888888888892</v>
      </c>
      <c r="E79" t="s">
        <v>26</v>
      </c>
      <c r="F79" s="1">
        <v>7</v>
      </c>
      <c r="G79" s="1"/>
      <c r="H79" s="6" t="s">
        <v>30</v>
      </c>
      <c r="U79" s="2">
        <f>中央線快速_東京方面_平日[[#This Row],[発車時刻(Time)]]-$D78</f>
        <v>3.4722222222222654E-3</v>
      </c>
      <c r="V79" s="4">
        <f t="shared" si="1"/>
        <v>0.74265734265733341</v>
      </c>
    </row>
    <row r="80" spans="2:22" x14ac:dyDescent="0.2">
      <c r="B80" s="7" t="s">
        <v>17</v>
      </c>
      <c r="C80" s="1" t="s">
        <v>21</v>
      </c>
      <c r="D80" s="3">
        <v>0.41597222222222219</v>
      </c>
      <c r="E80" t="s">
        <v>26</v>
      </c>
      <c r="F80" s="1">
        <v>8</v>
      </c>
      <c r="G80" s="1"/>
      <c r="H80" s="6" t="s">
        <v>29</v>
      </c>
      <c r="U80" s="2">
        <f>中央線快速_東京方面_平日[[#This Row],[発車時刻(Time)]]-$D79</f>
        <v>2.0833333333332704E-3</v>
      </c>
      <c r="V80" s="4">
        <f t="shared" si="1"/>
        <v>1.2377622377622752</v>
      </c>
    </row>
    <row r="81" spans="2:22" x14ac:dyDescent="0.2">
      <c r="B81" s="7" t="s">
        <v>17</v>
      </c>
      <c r="C81" s="1" t="s">
        <v>22</v>
      </c>
      <c r="D81" s="3">
        <v>0.41805555555555557</v>
      </c>
      <c r="E81" t="s">
        <v>26</v>
      </c>
      <c r="F81" s="1">
        <v>8</v>
      </c>
      <c r="G81" s="1"/>
      <c r="H81" s="6" t="s">
        <v>29</v>
      </c>
      <c r="U81" s="2">
        <f>中央線快速_東京方面_平日[[#This Row],[発車時刻(Time)]]-$D80</f>
        <v>2.0833333333333814E-3</v>
      </c>
      <c r="V81" s="4">
        <f t="shared" si="1"/>
        <v>1.2377622377622093</v>
      </c>
    </row>
    <row r="82" spans="2:22" x14ac:dyDescent="0.2">
      <c r="B82" s="7" t="s">
        <v>17</v>
      </c>
      <c r="C82" s="1" t="s">
        <v>21</v>
      </c>
      <c r="D82" s="3">
        <v>0.42083333333333334</v>
      </c>
      <c r="E82" t="s">
        <v>26</v>
      </c>
      <c r="F82" s="1">
        <v>8</v>
      </c>
      <c r="G82" s="1"/>
      <c r="H82" s="6" t="s">
        <v>29</v>
      </c>
      <c r="U82" s="2">
        <f>中央線快速_東京方面_平日[[#This Row],[発車時刻(Time)]]-$D81</f>
        <v>2.7777777777777679E-3</v>
      </c>
      <c r="V82" s="4">
        <f t="shared" si="1"/>
        <v>0.92832167832168166</v>
      </c>
    </row>
    <row r="83" spans="2:22" x14ac:dyDescent="0.2">
      <c r="B83" s="7" t="s">
        <v>17</v>
      </c>
      <c r="C83" s="1" t="s">
        <v>21</v>
      </c>
      <c r="D83" s="3">
        <v>0.42430555555555555</v>
      </c>
      <c r="E83" t="s">
        <v>26</v>
      </c>
      <c r="F83" s="1">
        <v>8</v>
      </c>
      <c r="G83" s="1"/>
      <c r="H83" s="6" t="s">
        <v>29</v>
      </c>
      <c r="U83" s="2">
        <f>中央線快速_東京方面_平日[[#This Row],[発車時刻(Time)]]-$D82</f>
        <v>3.4722222222222099E-3</v>
      </c>
      <c r="V83" s="4">
        <f t="shared" si="1"/>
        <v>0.74265734265734529</v>
      </c>
    </row>
    <row r="84" spans="2:22" x14ac:dyDescent="0.2">
      <c r="B84" s="7" t="s">
        <v>17</v>
      </c>
      <c r="C84" s="1" t="s">
        <v>21</v>
      </c>
      <c r="D84" s="3">
        <v>0.42638888888888887</v>
      </c>
      <c r="E84" t="s">
        <v>26</v>
      </c>
      <c r="F84" s="1">
        <v>8</v>
      </c>
      <c r="G84" s="1"/>
      <c r="H84" s="6" t="s">
        <v>29</v>
      </c>
      <c r="U84" s="2">
        <f>中央線快速_東京方面_平日[[#This Row],[発車時刻(Time)]]-$D83</f>
        <v>2.0833333333333259E-3</v>
      </c>
      <c r="V84" s="4">
        <f t="shared" si="1"/>
        <v>1.2377622377622421</v>
      </c>
    </row>
    <row r="85" spans="2:22" x14ac:dyDescent="0.2">
      <c r="B85" s="7" t="s">
        <v>17</v>
      </c>
      <c r="C85" s="1" t="s">
        <v>22</v>
      </c>
      <c r="D85" s="3">
        <v>0.42986111111111108</v>
      </c>
      <c r="E85" t="s">
        <v>26</v>
      </c>
      <c r="F85" s="1">
        <v>8</v>
      </c>
      <c r="G85" s="1"/>
      <c r="H85" s="6" t="s">
        <v>29</v>
      </c>
      <c r="U85" s="2">
        <f>中央線快速_東京方面_平日[[#This Row],[発車時刻(Time)]]-$D84</f>
        <v>3.4722222222222099E-3</v>
      </c>
      <c r="V85" s="4">
        <f t="shared" si="1"/>
        <v>0.74265734265734529</v>
      </c>
    </row>
    <row r="86" spans="2:22" x14ac:dyDescent="0.2">
      <c r="B86" s="7" t="s">
        <v>17</v>
      </c>
      <c r="C86" s="1" t="s">
        <v>21</v>
      </c>
      <c r="D86" s="3">
        <v>0.43333333333333335</v>
      </c>
      <c r="E86" t="s">
        <v>26</v>
      </c>
      <c r="F86" s="1">
        <v>8</v>
      </c>
      <c r="G86" s="1"/>
      <c r="H86" s="6" t="s">
        <v>29</v>
      </c>
      <c r="U86" s="2">
        <f>中央線快速_東京方面_平日[[#This Row],[発車時刻(Time)]]-$D85</f>
        <v>3.4722222222222654E-3</v>
      </c>
      <c r="V86" s="4">
        <f t="shared" si="1"/>
        <v>0.74265734265733341</v>
      </c>
    </row>
    <row r="87" spans="2:22" x14ac:dyDescent="0.2">
      <c r="B87" s="7" t="s">
        <v>17</v>
      </c>
      <c r="C87" s="1" t="s">
        <v>21</v>
      </c>
      <c r="D87" s="3">
        <v>0.4368055555555555</v>
      </c>
      <c r="E87" t="s">
        <v>26</v>
      </c>
      <c r="F87" s="1">
        <v>8</v>
      </c>
      <c r="G87" s="1"/>
      <c r="H87" s="6" t="s">
        <v>29</v>
      </c>
      <c r="U87" s="2">
        <f>中央線快速_東京方面_平日[[#This Row],[発車時刻(Time)]]-$D86</f>
        <v>3.4722222222221544E-3</v>
      </c>
      <c r="V87" s="4">
        <f t="shared" si="1"/>
        <v>0.74265734265735717</v>
      </c>
    </row>
    <row r="88" spans="2:22" x14ac:dyDescent="0.2">
      <c r="B88" s="7" t="s">
        <v>17</v>
      </c>
      <c r="C88" s="1" t="s">
        <v>25</v>
      </c>
      <c r="D88" s="3">
        <v>0.43888888888888888</v>
      </c>
      <c r="E88" t="s">
        <v>26</v>
      </c>
      <c r="F88" s="1">
        <v>8</v>
      </c>
      <c r="G88" s="1"/>
      <c r="H88" s="6" t="s">
        <v>29</v>
      </c>
      <c r="U88" s="2">
        <f>中央線快速_東京方面_平日[[#This Row],[発車時刻(Time)]]-$D87</f>
        <v>2.0833333333333814E-3</v>
      </c>
      <c r="V88" s="4">
        <f t="shared" si="1"/>
        <v>1.2377622377622093</v>
      </c>
    </row>
    <row r="89" spans="2:22" x14ac:dyDescent="0.2">
      <c r="B89" s="7" t="s">
        <v>17</v>
      </c>
      <c r="C89" s="1" t="s">
        <v>21</v>
      </c>
      <c r="D89" s="3">
        <v>0.44236111111111115</v>
      </c>
      <c r="E89" t="s">
        <v>26</v>
      </c>
      <c r="F89" s="1">
        <v>8</v>
      </c>
      <c r="G89" s="1"/>
      <c r="H89" s="6" t="s">
        <v>29</v>
      </c>
      <c r="U89" s="2">
        <f>中央線快速_東京方面_平日[[#This Row],[発車時刻(Time)]]-$D88</f>
        <v>3.4722222222222654E-3</v>
      </c>
      <c r="V89" s="4">
        <f t="shared" si="1"/>
        <v>0.74265734265733341</v>
      </c>
    </row>
    <row r="90" spans="2:22" x14ac:dyDescent="0.2">
      <c r="B90" s="8" t="s">
        <v>18</v>
      </c>
      <c r="C90" s="1" t="s">
        <v>24</v>
      </c>
      <c r="D90" s="3">
        <v>0.44444444444444442</v>
      </c>
      <c r="E90" t="s">
        <v>26</v>
      </c>
      <c r="F90" s="1">
        <v>10</v>
      </c>
      <c r="G90" s="1"/>
      <c r="H90" s="6" t="s">
        <v>30</v>
      </c>
      <c r="U90" s="2">
        <f>中央線快速_東京方面_平日[[#This Row],[発車時刻(Time)]]-$D89</f>
        <v>2.0833333333332704E-3</v>
      </c>
      <c r="V90" s="4">
        <f t="shared" si="1"/>
        <v>1.2377622377622752</v>
      </c>
    </row>
    <row r="91" spans="2:22" x14ac:dyDescent="0.2">
      <c r="B91" s="7" t="s">
        <v>17</v>
      </c>
      <c r="C91" s="1" t="s">
        <v>21</v>
      </c>
      <c r="D91" s="3">
        <v>0.4458333333333333</v>
      </c>
      <c r="E91" t="s">
        <v>26</v>
      </c>
      <c r="F91" s="1">
        <v>8</v>
      </c>
      <c r="G91" s="1"/>
      <c r="H91" s="6" t="s">
        <v>29</v>
      </c>
      <c r="U91" s="2">
        <f>中央線快速_東京方面_平日[[#This Row],[発車時刻(Time)]]-$D90</f>
        <v>1.388888888888884E-3</v>
      </c>
      <c r="V91" s="4">
        <f t="shared" si="1"/>
        <v>1.8566433566433633</v>
      </c>
    </row>
    <row r="92" spans="2:22" x14ac:dyDescent="0.2">
      <c r="B92" s="7" t="s">
        <v>17</v>
      </c>
      <c r="C92" s="1" t="s">
        <v>22</v>
      </c>
      <c r="D92" s="3">
        <v>0.44861111111111113</v>
      </c>
      <c r="E92" t="s">
        <v>26</v>
      </c>
      <c r="F92" s="1">
        <v>8</v>
      </c>
      <c r="G92" s="1"/>
      <c r="H92" s="6" t="s">
        <v>29</v>
      </c>
      <c r="U92" s="2">
        <f>中央線快速_東京方面_平日[[#This Row],[発車時刻(Time)]]-$D91</f>
        <v>2.7777777777778234E-3</v>
      </c>
      <c r="V92" s="4">
        <f t="shared" si="1"/>
        <v>0.92832167832166312</v>
      </c>
    </row>
    <row r="93" spans="2:22" x14ac:dyDescent="0.2">
      <c r="B93" s="7" t="s">
        <v>17</v>
      </c>
      <c r="C93" s="1" t="s">
        <v>21</v>
      </c>
      <c r="D93" s="3">
        <v>0.4513888888888889</v>
      </c>
      <c r="E93" t="s">
        <v>26</v>
      </c>
      <c r="F93" s="1">
        <v>8</v>
      </c>
      <c r="G93" s="1"/>
      <c r="H93" s="6" t="s">
        <v>29</v>
      </c>
      <c r="U93" s="2">
        <f>中央線快速_東京方面_平日[[#This Row],[発車時刻(Time)]]-$D92</f>
        <v>2.7777777777777679E-3</v>
      </c>
      <c r="V93" s="4">
        <f t="shared" si="1"/>
        <v>0.92832167832168166</v>
      </c>
    </row>
    <row r="94" spans="2:22" x14ac:dyDescent="0.2">
      <c r="B94" s="7" t="s">
        <v>17</v>
      </c>
      <c r="C94" s="1" t="s">
        <v>21</v>
      </c>
      <c r="D94" s="3">
        <v>0.45277777777777778</v>
      </c>
      <c r="E94" t="s">
        <v>26</v>
      </c>
      <c r="F94" s="1">
        <v>8</v>
      </c>
      <c r="G94" s="1"/>
      <c r="H94" s="6" t="s">
        <v>29</v>
      </c>
      <c r="U94" s="2">
        <f>中央線快速_東京方面_平日[[#This Row],[発車時刻(Time)]]-$D93</f>
        <v>1.388888888888884E-3</v>
      </c>
      <c r="V94" s="4">
        <f t="shared" si="1"/>
        <v>1.8566433566433633</v>
      </c>
    </row>
    <row r="95" spans="2:22" x14ac:dyDescent="0.2">
      <c r="B95" s="7" t="s">
        <v>17</v>
      </c>
      <c r="C95" s="1" t="s">
        <v>21</v>
      </c>
      <c r="D95" s="3">
        <v>0.45416666666666666</v>
      </c>
      <c r="E95" t="s">
        <v>26</v>
      </c>
      <c r="F95" s="1">
        <v>8</v>
      </c>
      <c r="G95" s="1"/>
      <c r="H95" s="6" t="s">
        <v>29</v>
      </c>
      <c r="U95" s="2">
        <f>中央線快速_東京方面_平日[[#This Row],[発車時刻(Time)]]-$D94</f>
        <v>1.388888888888884E-3</v>
      </c>
      <c r="V95" s="4">
        <f t="shared" si="1"/>
        <v>1.8566433566433633</v>
      </c>
    </row>
    <row r="96" spans="2:22" x14ac:dyDescent="0.2">
      <c r="B96" s="7" t="s">
        <v>17</v>
      </c>
      <c r="C96" s="1" t="s">
        <v>22</v>
      </c>
      <c r="D96" s="3">
        <v>0.45763888888888887</v>
      </c>
      <c r="E96" t="s">
        <v>26</v>
      </c>
      <c r="F96" s="1">
        <v>8</v>
      </c>
      <c r="G96" s="1"/>
      <c r="H96" s="6" t="s">
        <v>29</v>
      </c>
      <c r="U96" s="2">
        <f>中央線快速_東京方面_平日[[#This Row],[発車時刻(Time)]]-$D95</f>
        <v>3.4722222222222099E-3</v>
      </c>
      <c r="V96" s="4">
        <f t="shared" si="1"/>
        <v>0.74265734265734529</v>
      </c>
    </row>
    <row r="97" spans="2:22" x14ac:dyDescent="0.2">
      <c r="B97" s="7" t="s">
        <v>17</v>
      </c>
      <c r="C97" s="1" t="s">
        <v>21</v>
      </c>
      <c r="D97" s="3">
        <v>0.46180555555555558</v>
      </c>
      <c r="E97" t="s">
        <v>26</v>
      </c>
      <c r="F97" s="1">
        <v>8</v>
      </c>
      <c r="G97" s="1"/>
      <c r="H97" s="6" t="s">
        <v>29</v>
      </c>
      <c r="U97" s="2">
        <f>中央線快速_東京方面_平日[[#This Row],[発車時刻(Time)]]-$D96</f>
        <v>4.1666666666667074E-3</v>
      </c>
      <c r="V97" s="4">
        <f t="shared" si="1"/>
        <v>0.61888111888111286</v>
      </c>
    </row>
    <row r="98" spans="2:22" x14ac:dyDescent="0.2">
      <c r="B98" s="7" t="s">
        <v>17</v>
      </c>
      <c r="C98" s="1" t="s">
        <v>21</v>
      </c>
      <c r="D98" s="3">
        <v>0.46527777777777773</v>
      </c>
      <c r="E98" t="s">
        <v>26</v>
      </c>
      <c r="F98" s="1">
        <v>8</v>
      </c>
      <c r="G98" s="1"/>
      <c r="H98" s="6" t="s">
        <v>29</v>
      </c>
      <c r="U98" s="2">
        <f>中央線快速_東京方面_平日[[#This Row],[発車時刻(Time)]]-$D97</f>
        <v>3.4722222222221544E-3</v>
      </c>
      <c r="V98" s="4">
        <f t="shared" si="1"/>
        <v>0.74265734265735717</v>
      </c>
    </row>
    <row r="99" spans="2:22" x14ac:dyDescent="0.2">
      <c r="B99" s="7" t="s">
        <v>17</v>
      </c>
      <c r="C99" s="1" t="s">
        <v>22</v>
      </c>
      <c r="D99" s="3">
        <v>0.4680555555555555</v>
      </c>
      <c r="E99" t="s">
        <v>26</v>
      </c>
      <c r="F99" s="1">
        <v>8</v>
      </c>
      <c r="G99" s="1"/>
      <c r="H99" s="6" t="s">
        <v>29</v>
      </c>
      <c r="U99" s="2">
        <f>中央線快速_東京方面_平日[[#This Row],[発車時刻(Time)]]-$D98</f>
        <v>2.7777777777777679E-3</v>
      </c>
      <c r="V99" s="4">
        <f t="shared" si="1"/>
        <v>0.92832167832168166</v>
      </c>
    </row>
    <row r="100" spans="2:22" x14ac:dyDescent="0.2">
      <c r="B100" s="7" t="s">
        <v>17</v>
      </c>
      <c r="C100" s="1" t="s">
        <v>21</v>
      </c>
      <c r="D100" s="3">
        <v>0.47152777777777777</v>
      </c>
      <c r="E100" t="s">
        <v>26</v>
      </c>
      <c r="F100" s="1">
        <v>8</v>
      </c>
      <c r="G100" s="1"/>
      <c r="H100" s="6" t="s">
        <v>29</v>
      </c>
      <c r="U100" s="2">
        <f>中央線快速_東京方面_平日[[#This Row],[発車時刻(Time)]]-$D99</f>
        <v>3.4722222222222654E-3</v>
      </c>
      <c r="V100" s="4">
        <f t="shared" si="1"/>
        <v>0.74265734265733341</v>
      </c>
    </row>
    <row r="101" spans="2:22" x14ac:dyDescent="0.2">
      <c r="B101" s="7" t="s">
        <v>17</v>
      </c>
      <c r="C101" s="1" t="s">
        <v>21</v>
      </c>
      <c r="D101" s="3">
        <v>0.47361111111111115</v>
      </c>
      <c r="E101" t="s">
        <v>26</v>
      </c>
      <c r="F101" s="1">
        <v>8</v>
      </c>
      <c r="G101" s="1"/>
      <c r="H101" s="6" t="s">
        <v>29</v>
      </c>
      <c r="U101" s="2">
        <f>中央線快速_東京方面_平日[[#This Row],[発車時刻(Time)]]-$D100</f>
        <v>2.0833333333333814E-3</v>
      </c>
      <c r="V101" s="4">
        <f t="shared" si="1"/>
        <v>1.2377622377622093</v>
      </c>
    </row>
    <row r="102" spans="2:22" x14ac:dyDescent="0.2">
      <c r="B102" s="7" t="s">
        <v>17</v>
      </c>
      <c r="C102" s="1" t="s">
        <v>21</v>
      </c>
      <c r="D102" s="3">
        <v>0.47500000000000003</v>
      </c>
      <c r="E102" t="s">
        <v>26</v>
      </c>
      <c r="F102" s="1">
        <v>8</v>
      </c>
      <c r="G102" s="1"/>
      <c r="H102" s="6" t="s">
        <v>29</v>
      </c>
      <c r="U102" s="2">
        <f>中央線快速_東京方面_平日[[#This Row],[発車時刻(Time)]]-$D101</f>
        <v>1.388888888888884E-3</v>
      </c>
      <c r="V102" s="4">
        <f t="shared" si="1"/>
        <v>1.8566433566433633</v>
      </c>
    </row>
    <row r="103" spans="2:22" x14ac:dyDescent="0.2">
      <c r="B103" s="7" t="s">
        <v>17</v>
      </c>
      <c r="C103" s="1" t="s">
        <v>25</v>
      </c>
      <c r="D103" s="3">
        <v>0.47847222222222219</v>
      </c>
      <c r="E103" t="s">
        <v>26</v>
      </c>
      <c r="F103" s="1">
        <v>8</v>
      </c>
      <c r="G103" s="1"/>
      <c r="H103" s="6" t="s">
        <v>29</v>
      </c>
      <c r="U103" s="2">
        <f>中央線快速_東京方面_平日[[#This Row],[発車時刻(Time)]]-$D102</f>
        <v>3.4722222222221544E-3</v>
      </c>
      <c r="V103" s="4">
        <f t="shared" si="1"/>
        <v>0.74265734265735717</v>
      </c>
    </row>
    <row r="104" spans="2:22" x14ac:dyDescent="0.2">
      <c r="B104" s="7" t="s">
        <v>17</v>
      </c>
      <c r="C104" s="1" t="s">
        <v>21</v>
      </c>
      <c r="D104" s="3">
        <v>0.4826388888888889</v>
      </c>
      <c r="E104" t="s">
        <v>26</v>
      </c>
      <c r="F104" s="1">
        <v>8</v>
      </c>
      <c r="G104" s="1"/>
      <c r="H104" s="6" t="s">
        <v>29</v>
      </c>
      <c r="U104" s="2">
        <f>中央線快速_東京方面_平日[[#This Row],[発車時刻(Time)]]-$D103</f>
        <v>4.1666666666667074E-3</v>
      </c>
      <c r="V104" s="4">
        <f t="shared" si="1"/>
        <v>0.61888111888111286</v>
      </c>
    </row>
    <row r="105" spans="2:22" x14ac:dyDescent="0.2">
      <c r="B105" s="8" t="s">
        <v>18</v>
      </c>
      <c r="C105" s="1" t="s">
        <v>24</v>
      </c>
      <c r="D105" s="3">
        <v>0.48402777777777778</v>
      </c>
      <c r="E105" t="s">
        <v>26</v>
      </c>
      <c r="F105" s="1">
        <v>8</v>
      </c>
      <c r="G105" s="1"/>
      <c r="H105" s="6" t="s">
        <v>30</v>
      </c>
      <c r="U105" s="2">
        <f>中央線快速_東京方面_平日[[#This Row],[発車時刻(Time)]]-$D104</f>
        <v>1.388888888888884E-3</v>
      </c>
      <c r="V105" s="4">
        <f t="shared" si="1"/>
        <v>1.8566433566433633</v>
      </c>
    </row>
    <row r="106" spans="2:22" x14ac:dyDescent="0.2">
      <c r="B106" s="7" t="s">
        <v>17</v>
      </c>
      <c r="C106" s="1" t="s">
        <v>21</v>
      </c>
      <c r="D106" s="3">
        <v>0.48680555555555555</v>
      </c>
      <c r="E106" t="s">
        <v>26</v>
      </c>
      <c r="F106" s="1">
        <v>8</v>
      </c>
      <c r="G106" s="1"/>
      <c r="H106" s="6" t="s">
        <v>29</v>
      </c>
      <c r="U106" s="2">
        <f>中央線快速_東京方面_平日[[#This Row],[発車時刻(Time)]]-$D105</f>
        <v>2.7777777777777679E-3</v>
      </c>
      <c r="V106" s="4">
        <f t="shared" si="1"/>
        <v>0.92832167832168166</v>
      </c>
    </row>
    <row r="107" spans="2:22" x14ac:dyDescent="0.2">
      <c r="B107" s="7" t="s">
        <v>17</v>
      </c>
      <c r="C107" s="1" t="s">
        <v>22</v>
      </c>
      <c r="D107" s="3">
        <v>0.48888888888888887</v>
      </c>
      <c r="E107" t="s">
        <v>26</v>
      </c>
      <c r="F107" s="1">
        <v>8</v>
      </c>
      <c r="G107" s="1"/>
      <c r="H107" s="6" t="s">
        <v>29</v>
      </c>
      <c r="U107" s="2">
        <f>中央線快速_東京方面_平日[[#This Row],[発車時刻(Time)]]-$D106</f>
        <v>2.0833333333333259E-3</v>
      </c>
      <c r="V107" s="4">
        <f t="shared" si="1"/>
        <v>1.2377622377622421</v>
      </c>
    </row>
    <row r="108" spans="2:22" x14ac:dyDescent="0.2">
      <c r="B108" s="7" t="s">
        <v>17</v>
      </c>
      <c r="C108" s="1" t="s">
        <v>21</v>
      </c>
      <c r="D108" s="3">
        <v>0.4916666666666667</v>
      </c>
      <c r="E108" t="s">
        <v>26</v>
      </c>
      <c r="F108" s="1">
        <v>8</v>
      </c>
      <c r="G108" s="1"/>
      <c r="H108" s="6" t="s">
        <v>29</v>
      </c>
      <c r="U108" s="2">
        <f>中央線快速_東京方面_平日[[#This Row],[発車時刻(Time)]]-$D107</f>
        <v>2.7777777777778234E-3</v>
      </c>
      <c r="V108" s="4">
        <f t="shared" si="1"/>
        <v>0.92832167832166312</v>
      </c>
    </row>
    <row r="109" spans="2:22" x14ac:dyDescent="0.2">
      <c r="B109" s="7" t="s">
        <v>17</v>
      </c>
      <c r="C109" s="1" t="s">
        <v>25</v>
      </c>
      <c r="D109" s="3">
        <v>0.49374999999999997</v>
      </c>
      <c r="E109" t="s">
        <v>26</v>
      </c>
      <c r="F109" s="1">
        <v>8</v>
      </c>
      <c r="G109" s="1"/>
      <c r="H109" s="6" t="s">
        <v>29</v>
      </c>
      <c r="U109" s="2">
        <f>中央線快速_東京方面_平日[[#This Row],[発車時刻(Time)]]-$D108</f>
        <v>2.0833333333332704E-3</v>
      </c>
      <c r="V109" s="4">
        <f t="shared" si="1"/>
        <v>1.2377622377622752</v>
      </c>
    </row>
    <row r="110" spans="2:22" x14ac:dyDescent="0.2">
      <c r="B110" s="7" t="s">
        <v>17</v>
      </c>
      <c r="C110" s="1" t="s">
        <v>21</v>
      </c>
      <c r="D110" s="3">
        <v>0.49652777777777773</v>
      </c>
      <c r="E110" t="s">
        <v>26</v>
      </c>
      <c r="F110" s="1">
        <v>8</v>
      </c>
      <c r="G110" s="1"/>
      <c r="H110" s="6" t="s">
        <v>29</v>
      </c>
      <c r="U110" s="2">
        <f>中央線快速_東京方面_平日[[#This Row],[発車時刻(Time)]]-$D109</f>
        <v>2.7777777777777679E-3</v>
      </c>
      <c r="V110" s="4">
        <f t="shared" si="1"/>
        <v>0.92832167832168166</v>
      </c>
    </row>
    <row r="111" spans="2:22" x14ac:dyDescent="0.2">
      <c r="B111" s="7" t="s">
        <v>17</v>
      </c>
      <c r="C111" s="1" t="s">
        <v>22</v>
      </c>
      <c r="D111" s="3">
        <v>0.49861111111111112</v>
      </c>
      <c r="E111" t="s">
        <v>26</v>
      </c>
      <c r="F111" s="1">
        <v>8</v>
      </c>
      <c r="G111" s="1"/>
      <c r="H111" s="6" t="s">
        <v>29</v>
      </c>
      <c r="U111" s="2">
        <f>中央線快速_東京方面_平日[[#This Row],[発車時刻(Time)]]-$D110</f>
        <v>2.0833333333333814E-3</v>
      </c>
      <c r="V111" s="4">
        <f t="shared" si="1"/>
        <v>1.2377622377622093</v>
      </c>
    </row>
    <row r="112" spans="2:22" x14ac:dyDescent="0.2">
      <c r="B112" s="7" t="s">
        <v>17</v>
      </c>
      <c r="C112" s="1" t="s">
        <v>21</v>
      </c>
      <c r="D112" s="3">
        <v>0.50347222222222221</v>
      </c>
      <c r="E112" t="s">
        <v>26</v>
      </c>
      <c r="F112" s="1">
        <v>8</v>
      </c>
      <c r="G112" s="1"/>
      <c r="H112" s="6" t="s">
        <v>29</v>
      </c>
      <c r="U112" s="2">
        <f>中央線快速_東京方面_平日[[#This Row],[発車時刻(Time)]]-$D111</f>
        <v>4.8611111111110938E-3</v>
      </c>
      <c r="V112" s="4">
        <f t="shared" si="1"/>
        <v>0.53046953046953238</v>
      </c>
    </row>
    <row r="113" spans="2:22" x14ac:dyDescent="0.2">
      <c r="B113" s="7" t="s">
        <v>17</v>
      </c>
      <c r="C113" s="1" t="s">
        <v>21</v>
      </c>
      <c r="D113" s="3">
        <v>0.50694444444444442</v>
      </c>
      <c r="E113" t="s">
        <v>26</v>
      </c>
      <c r="F113" s="1">
        <v>8</v>
      </c>
      <c r="G113" s="1"/>
      <c r="H113" s="6" t="s">
        <v>29</v>
      </c>
      <c r="U113" s="2">
        <f>中央線快速_東京方面_平日[[#This Row],[発車時刻(Time)]]-$D112</f>
        <v>3.4722222222222099E-3</v>
      </c>
      <c r="V113" s="4">
        <f t="shared" si="1"/>
        <v>0.74265734265734529</v>
      </c>
    </row>
    <row r="114" spans="2:22" x14ac:dyDescent="0.2">
      <c r="B114" s="7" t="s">
        <v>17</v>
      </c>
      <c r="C114" s="1" t="s">
        <v>22</v>
      </c>
      <c r="D114" s="3">
        <v>0.50972222222222219</v>
      </c>
      <c r="E114" t="s">
        <v>26</v>
      </c>
      <c r="F114" s="1">
        <v>8</v>
      </c>
      <c r="G114" s="1"/>
      <c r="H114" s="6" t="s">
        <v>29</v>
      </c>
      <c r="U114" s="2">
        <f>中央線快速_東京方面_平日[[#This Row],[発車時刻(Time)]]-$D113</f>
        <v>2.7777777777777679E-3</v>
      </c>
      <c r="V114" s="4">
        <f t="shared" si="1"/>
        <v>0.92832167832168166</v>
      </c>
    </row>
    <row r="115" spans="2:22" x14ac:dyDescent="0.2">
      <c r="B115" s="7" t="s">
        <v>17</v>
      </c>
      <c r="C115" s="1" t="s">
        <v>21</v>
      </c>
      <c r="D115" s="3">
        <v>0.51180555555555551</v>
      </c>
      <c r="E115" t="s">
        <v>26</v>
      </c>
      <c r="F115" s="1">
        <v>8</v>
      </c>
      <c r="G115" s="1"/>
      <c r="H115" s="6" t="s">
        <v>29</v>
      </c>
      <c r="U115" s="2">
        <f>中央線快速_東京方面_平日[[#This Row],[発車時刻(Time)]]-$D114</f>
        <v>2.0833333333333259E-3</v>
      </c>
      <c r="V115" s="4">
        <f t="shared" si="1"/>
        <v>1.2377622377622421</v>
      </c>
    </row>
    <row r="116" spans="2:22" x14ac:dyDescent="0.2">
      <c r="B116" s="7" t="s">
        <v>17</v>
      </c>
      <c r="C116" s="1" t="s">
        <v>21</v>
      </c>
      <c r="D116" s="3">
        <v>0.51458333333333328</v>
      </c>
      <c r="E116" t="s">
        <v>26</v>
      </c>
      <c r="F116" s="1">
        <v>8</v>
      </c>
      <c r="G116" s="1"/>
      <c r="H116" s="6" t="s">
        <v>29</v>
      </c>
      <c r="U116" s="2">
        <f>中央線快速_東京方面_平日[[#This Row],[発車時刻(Time)]]-$D115</f>
        <v>2.7777777777777679E-3</v>
      </c>
      <c r="V116" s="4">
        <f t="shared" si="1"/>
        <v>0.92832167832168166</v>
      </c>
    </row>
    <row r="117" spans="2:22" x14ac:dyDescent="0.2">
      <c r="B117" s="7" t="s">
        <v>17</v>
      </c>
      <c r="C117" s="1" t="s">
        <v>21</v>
      </c>
      <c r="D117" s="3">
        <v>0.51666666666666672</v>
      </c>
      <c r="E117" t="s">
        <v>26</v>
      </c>
      <c r="F117" s="1">
        <v>8</v>
      </c>
      <c r="G117" s="1"/>
      <c r="H117" s="6" t="s">
        <v>29</v>
      </c>
      <c r="U117" s="2">
        <f>中央線快速_東京方面_平日[[#This Row],[発車時刻(Time)]]-$D116</f>
        <v>2.083333333333437E-3</v>
      </c>
      <c r="V117" s="4">
        <f t="shared" si="1"/>
        <v>1.2377622377621762</v>
      </c>
    </row>
    <row r="118" spans="2:22" x14ac:dyDescent="0.2">
      <c r="B118" s="7" t="s">
        <v>17</v>
      </c>
      <c r="C118" s="1" t="s">
        <v>22</v>
      </c>
      <c r="D118" s="3">
        <v>0.51944444444444449</v>
      </c>
      <c r="E118" t="s">
        <v>26</v>
      </c>
      <c r="F118" s="1">
        <v>8</v>
      </c>
      <c r="G118" s="1"/>
      <c r="H118" s="6" t="s">
        <v>29</v>
      </c>
      <c r="U118" s="2">
        <f>中央線快速_東京方面_平日[[#This Row],[発車時刻(Time)]]-$D117</f>
        <v>2.7777777777777679E-3</v>
      </c>
      <c r="V118" s="4">
        <f t="shared" si="1"/>
        <v>0.92832167832168166</v>
      </c>
    </row>
    <row r="119" spans="2:22" x14ac:dyDescent="0.2">
      <c r="B119" s="7" t="s">
        <v>17</v>
      </c>
      <c r="C119" s="1" t="s">
        <v>21</v>
      </c>
      <c r="D119" s="3">
        <v>0.52430555555555558</v>
      </c>
      <c r="E119" t="s">
        <v>26</v>
      </c>
      <c r="F119" s="1">
        <v>8</v>
      </c>
      <c r="G119" s="1"/>
      <c r="H119" s="6" t="s">
        <v>29</v>
      </c>
      <c r="U119" s="2">
        <f>中央線快速_東京方面_平日[[#This Row],[発車時刻(Time)]]-$D118</f>
        <v>4.8611111111110938E-3</v>
      </c>
      <c r="V119" s="4">
        <f t="shared" si="1"/>
        <v>0.53046953046953238</v>
      </c>
    </row>
    <row r="120" spans="2:22" x14ac:dyDescent="0.2">
      <c r="B120" s="7" t="s">
        <v>17</v>
      </c>
      <c r="C120" s="1" t="s">
        <v>21</v>
      </c>
      <c r="D120" s="3">
        <v>0.52777777777777779</v>
      </c>
      <c r="E120" t="s">
        <v>26</v>
      </c>
      <c r="F120" s="1">
        <v>8</v>
      </c>
      <c r="G120" s="1"/>
      <c r="H120" s="6" t="s">
        <v>29</v>
      </c>
      <c r="U120" s="2">
        <f>中央線快速_東京方面_平日[[#This Row],[発車時刻(Time)]]-$D119</f>
        <v>3.4722222222222099E-3</v>
      </c>
      <c r="V120" s="4">
        <f t="shared" si="1"/>
        <v>0.74265734265734529</v>
      </c>
    </row>
    <row r="121" spans="2:22" x14ac:dyDescent="0.2">
      <c r="B121" s="7" t="s">
        <v>17</v>
      </c>
      <c r="C121" s="1" t="s">
        <v>22</v>
      </c>
      <c r="D121" s="3">
        <v>0.53055555555555556</v>
      </c>
      <c r="E121" t="s">
        <v>26</v>
      </c>
      <c r="F121" s="1">
        <v>8</v>
      </c>
      <c r="G121" s="1"/>
      <c r="H121" s="6" t="s">
        <v>29</v>
      </c>
      <c r="U121" s="2">
        <f>中央線快速_東京方面_平日[[#This Row],[発車時刻(Time)]]-$D120</f>
        <v>2.7777777777777679E-3</v>
      </c>
      <c r="V121" s="4">
        <f t="shared" si="1"/>
        <v>0.92832167832168166</v>
      </c>
    </row>
    <row r="122" spans="2:22" x14ac:dyDescent="0.2">
      <c r="B122" s="7" t="s">
        <v>17</v>
      </c>
      <c r="C122" s="1" t="s">
        <v>21</v>
      </c>
      <c r="D122" s="3">
        <v>0.53333333333333333</v>
      </c>
      <c r="E122" t="s">
        <v>26</v>
      </c>
      <c r="F122" s="1">
        <v>8</v>
      </c>
      <c r="G122" s="1"/>
      <c r="H122" s="6" t="s">
        <v>29</v>
      </c>
      <c r="U122" s="2">
        <f>中央線快速_東京方面_平日[[#This Row],[発車時刻(Time)]]-$D121</f>
        <v>2.7777777777777679E-3</v>
      </c>
      <c r="V122" s="4">
        <f t="shared" si="1"/>
        <v>0.92832167832168166</v>
      </c>
    </row>
    <row r="123" spans="2:22" x14ac:dyDescent="0.2">
      <c r="B123" s="7" t="s">
        <v>17</v>
      </c>
      <c r="C123" s="1" t="s">
        <v>25</v>
      </c>
      <c r="D123" s="3">
        <v>0.53611111111111109</v>
      </c>
      <c r="E123" t="s">
        <v>26</v>
      </c>
      <c r="F123" s="1">
        <v>8</v>
      </c>
      <c r="G123" s="1"/>
      <c r="H123" s="6" t="s">
        <v>29</v>
      </c>
      <c r="U123" s="2">
        <f>中央線快速_東京方面_平日[[#This Row],[発車時刻(Time)]]-$D122</f>
        <v>2.7777777777777679E-3</v>
      </c>
      <c r="V123" s="4">
        <f t="shared" si="1"/>
        <v>0.92832167832168166</v>
      </c>
    </row>
    <row r="124" spans="2:22" x14ac:dyDescent="0.2">
      <c r="B124" s="7" t="s">
        <v>17</v>
      </c>
      <c r="C124" s="1" t="s">
        <v>21</v>
      </c>
      <c r="D124" s="3">
        <v>0.53819444444444442</v>
      </c>
      <c r="E124" t="s">
        <v>26</v>
      </c>
      <c r="F124" s="1">
        <v>8</v>
      </c>
      <c r="G124" s="1"/>
      <c r="H124" s="6" t="s">
        <v>29</v>
      </c>
      <c r="U124" s="2">
        <f>中央線快速_東京方面_平日[[#This Row],[発車時刻(Time)]]-$D123</f>
        <v>2.0833333333333259E-3</v>
      </c>
      <c r="V124" s="4">
        <f t="shared" si="1"/>
        <v>1.2377622377622421</v>
      </c>
    </row>
    <row r="125" spans="2:22" x14ac:dyDescent="0.2">
      <c r="B125" s="7" t="s">
        <v>17</v>
      </c>
      <c r="C125" s="1" t="s">
        <v>22</v>
      </c>
      <c r="D125" s="3">
        <v>0.54097222222222219</v>
      </c>
      <c r="E125" t="s">
        <v>26</v>
      </c>
      <c r="F125" s="1">
        <v>8</v>
      </c>
      <c r="G125" s="1"/>
      <c r="H125" s="6" t="s">
        <v>29</v>
      </c>
      <c r="U125" s="2">
        <f>中央線快速_東京方面_平日[[#This Row],[発車時刻(Time)]]-$D124</f>
        <v>2.7777777777777679E-3</v>
      </c>
      <c r="V125" s="4">
        <f t="shared" si="1"/>
        <v>0.92832167832168166</v>
      </c>
    </row>
    <row r="126" spans="2:22" x14ac:dyDescent="0.2">
      <c r="B126" s="7" t="s">
        <v>17</v>
      </c>
      <c r="C126" s="1" t="s">
        <v>21</v>
      </c>
      <c r="D126" s="3">
        <v>0.54513888888888895</v>
      </c>
      <c r="E126" t="s">
        <v>26</v>
      </c>
      <c r="F126" s="1">
        <v>8</v>
      </c>
      <c r="G126" s="1"/>
      <c r="H126" s="6" t="s">
        <v>29</v>
      </c>
      <c r="U126" s="2">
        <f>中央線快速_東京方面_平日[[#This Row],[発車時刻(Time)]]-$D125</f>
        <v>4.1666666666667629E-3</v>
      </c>
      <c r="V126" s="4">
        <f t="shared" si="1"/>
        <v>0.61888111888110464</v>
      </c>
    </row>
    <row r="127" spans="2:22" x14ac:dyDescent="0.2">
      <c r="B127" s="7" t="s">
        <v>17</v>
      </c>
      <c r="C127" s="1" t="s">
        <v>21</v>
      </c>
      <c r="D127" s="3">
        <v>0.54861111111111105</v>
      </c>
      <c r="E127" t="s">
        <v>26</v>
      </c>
      <c r="F127" s="1">
        <v>8</v>
      </c>
      <c r="G127" s="1"/>
      <c r="H127" s="6" t="s">
        <v>29</v>
      </c>
      <c r="U127" s="2">
        <f>中央線快速_東京方面_平日[[#This Row],[発車時刻(Time)]]-$D126</f>
        <v>3.4722222222220989E-3</v>
      </c>
      <c r="V127" s="4">
        <f t="shared" si="1"/>
        <v>0.74265734265736905</v>
      </c>
    </row>
    <row r="128" spans="2:22" x14ac:dyDescent="0.2">
      <c r="B128" s="7" t="s">
        <v>17</v>
      </c>
      <c r="C128" s="1" t="s">
        <v>22</v>
      </c>
      <c r="D128" s="3">
        <v>0.55138888888888882</v>
      </c>
      <c r="E128" t="s">
        <v>26</v>
      </c>
      <c r="F128" s="1">
        <v>8</v>
      </c>
      <c r="G128" s="1"/>
      <c r="H128" s="6" t="s">
        <v>29</v>
      </c>
      <c r="U128" s="2">
        <f>中央線快速_東京方面_平日[[#This Row],[発車時刻(Time)]]-$D127</f>
        <v>2.7777777777777679E-3</v>
      </c>
      <c r="V128" s="4">
        <f t="shared" si="1"/>
        <v>0.92832167832168166</v>
      </c>
    </row>
    <row r="129" spans="2:22" x14ac:dyDescent="0.2">
      <c r="B129" s="7" t="s">
        <v>17</v>
      </c>
      <c r="C129" s="1" t="s">
        <v>21</v>
      </c>
      <c r="D129" s="3">
        <v>0.5541666666666667</v>
      </c>
      <c r="E129" t="s">
        <v>26</v>
      </c>
      <c r="F129" s="1">
        <v>8</v>
      </c>
      <c r="G129" s="1"/>
      <c r="H129" s="6" t="s">
        <v>29</v>
      </c>
      <c r="U129" s="2">
        <f>中央線快速_東京方面_平日[[#This Row],[発車時刻(Time)]]-$D128</f>
        <v>2.7777777777778789E-3</v>
      </c>
      <c r="V129" s="4">
        <f t="shared" si="1"/>
        <v>0.92832167832164447</v>
      </c>
    </row>
    <row r="130" spans="2:22" x14ac:dyDescent="0.2">
      <c r="B130" s="7" t="s">
        <v>17</v>
      </c>
      <c r="C130" s="1" t="s">
        <v>21</v>
      </c>
      <c r="D130" s="3">
        <v>0.55625000000000002</v>
      </c>
      <c r="E130" t="s">
        <v>26</v>
      </c>
      <c r="F130" s="1">
        <v>8</v>
      </c>
      <c r="G130" s="1"/>
      <c r="H130" s="6" t="s">
        <v>29</v>
      </c>
      <c r="U130" s="2">
        <f>中央線快速_東京方面_平日[[#This Row],[発車時刻(Time)]]-$D129</f>
        <v>2.0833333333333259E-3</v>
      </c>
      <c r="V130" s="4">
        <f t="shared" si="1"/>
        <v>1.2377622377622421</v>
      </c>
    </row>
    <row r="131" spans="2:22" x14ac:dyDescent="0.2">
      <c r="B131" s="7" t="s">
        <v>17</v>
      </c>
      <c r="C131" s="1" t="s">
        <v>21</v>
      </c>
      <c r="D131" s="3">
        <v>0.55833333333333335</v>
      </c>
      <c r="E131" t="s">
        <v>26</v>
      </c>
      <c r="F131" s="1">
        <v>8</v>
      </c>
      <c r="G131" s="1"/>
      <c r="H131" s="6" t="s">
        <v>29</v>
      </c>
      <c r="U131" s="2">
        <f>中央線快速_東京方面_平日[[#This Row],[発車時刻(Time)]]-$D130</f>
        <v>2.0833333333333259E-3</v>
      </c>
      <c r="V131" s="4">
        <f t="shared" si="1"/>
        <v>1.2377622377622421</v>
      </c>
    </row>
    <row r="132" spans="2:22" x14ac:dyDescent="0.2">
      <c r="B132" s="7" t="s">
        <v>17</v>
      </c>
      <c r="C132" s="1" t="s">
        <v>22</v>
      </c>
      <c r="D132" s="3">
        <v>0.56111111111111112</v>
      </c>
      <c r="E132" t="s">
        <v>26</v>
      </c>
      <c r="F132" s="1">
        <v>8</v>
      </c>
      <c r="G132" s="1"/>
      <c r="H132" s="6" t="s">
        <v>29</v>
      </c>
      <c r="U132" s="2">
        <f>中央線快速_東京方面_平日[[#This Row],[発車時刻(Time)]]-$D131</f>
        <v>2.7777777777777679E-3</v>
      </c>
      <c r="V132" s="4">
        <f t="shared" ref="V132:V195" si="2">IFERROR((1/(U132/$K$14)), 0)</f>
        <v>0.92832167832168166</v>
      </c>
    </row>
    <row r="133" spans="2:22" x14ac:dyDescent="0.2">
      <c r="B133" s="7" t="s">
        <v>17</v>
      </c>
      <c r="C133" s="1" t="s">
        <v>21</v>
      </c>
      <c r="D133" s="3">
        <v>0.56597222222222221</v>
      </c>
      <c r="E133" t="s">
        <v>26</v>
      </c>
      <c r="F133" s="1">
        <v>8</v>
      </c>
      <c r="G133" s="1"/>
      <c r="H133" s="6" t="s">
        <v>29</v>
      </c>
      <c r="U133" s="2">
        <f>中央線快速_東京方面_平日[[#This Row],[発車時刻(Time)]]-$D132</f>
        <v>4.8611111111110938E-3</v>
      </c>
      <c r="V133" s="4">
        <f t="shared" si="2"/>
        <v>0.53046953046953238</v>
      </c>
    </row>
    <row r="134" spans="2:22" x14ac:dyDescent="0.2">
      <c r="B134" s="7" t="s">
        <v>17</v>
      </c>
      <c r="C134" s="1" t="s">
        <v>21</v>
      </c>
      <c r="D134" s="3">
        <v>0.56944444444444442</v>
      </c>
      <c r="E134" t="s">
        <v>26</v>
      </c>
      <c r="F134" s="1">
        <v>8</v>
      </c>
      <c r="G134" s="1"/>
      <c r="H134" s="6" t="s">
        <v>29</v>
      </c>
      <c r="U134" s="2">
        <f>中央線快速_東京方面_平日[[#This Row],[発車時刻(Time)]]-$D133</f>
        <v>3.4722222222222099E-3</v>
      </c>
      <c r="V134" s="4">
        <f t="shared" si="2"/>
        <v>0.74265734265734529</v>
      </c>
    </row>
    <row r="135" spans="2:22" x14ac:dyDescent="0.2">
      <c r="B135" s="7" t="s">
        <v>17</v>
      </c>
      <c r="C135" s="1" t="s">
        <v>22</v>
      </c>
      <c r="D135" s="3">
        <v>0.57152777777777775</v>
      </c>
      <c r="E135" t="s">
        <v>26</v>
      </c>
      <c r="F135" s="1">
        <v>8</v>
      </c>
      <c r="G135" s="1"/>
      <c r="H135" s="6" t="s">
        <v>29</v>
      </c>
      <c r="U135" s="2">
        <f>中央線快速_東京方面_平日[[#This Row],[発車時刻(Time)]]-$D134</f>
        <v>2.0833333333333259E-3</v>
      </c>
      <c r="V135" s="4">
        <f t="shared" si="2"/>
        <v>1.2377622377622421</v>
      </c>
    </row>
    <row r="136" spans="2:22" x14ac:dyDescent="0.2">
      <c r="B136" s="7" t="s">
        <v>17</v>
      </c>
      <c r="C136" s="1" t="s">
        <v>21</v>
      </c>
      <c r="D136" s="3">
        <v>0.57500000000000007</v>
      </c>
      <c r="E136" t="s">
        <v>26</v>
      </c>
      <c r="F136" s="1">
        <v>8</v>
      </c>
      <c r="G136" s="1"/>
      <c r="H136" s="6" t="s">
        <v>29</v>
      </c>
      <c r="U136" s="2">
        <f>中央線快速_東京方面_平日[[#This Row],[発車時刻(Time)]]-$D135</f>
        <v>3.4722222222223209E-3</v>
      </c>
      <c r="V136" s="4">
        <f t="shared" si="2"/>
        <v>0.74265734265732153</v>
      </c>
    </row>
    <row r="137" spans="2:22" x14ac:dyDescent="0.2">
      <c r="B137" s="7" t="s">
        <v>17</v>
      </c>
      <c r="C137" s="1" t="s">
        <v>25</v>
      </c>
      <c r="D137" s="3">
        <v>0.57847222222222217</v>
      </c>
      <c r="E137" t="s">
        <v>26</v>
      </c>
      <c r="F137" s="1">
        <v>8</v>
      </c>
      <c r="G137" s="1"/>
      <c r="H137" s="6" t="s">
        <v>29</v>
      </c>
      <c r="U137" s="2">
        <f>中央線快速_東京方面_平日[[#This Row],[発車時刻(Time)]]-$D136</f>
        <v>3.4722222222220989E-3</v>
      </c>
      <c r="V137" s="4">
        <f t="shared" si="2"/>
        <v>0.74265734265736905</v>
      </c>
    </row>
    <row r="138" spans="2:22" x14ac:dyDescent="0.2">
      <c r="B138" s="7" t="s">
        <v>17</v>
      </c>
      <c r="C138" s="1" t="s">
        <v>21</v>
      </c>
      <c r="D138" s="3">
        <v>0.57986111111111105</v>
      </c>
      <c r="E138" t="s">
        <v>26</v>
      </c>
      <c r="F138" s="1">
        <v>8</v>
      </c>
      <c r="G138" s="1"/>
      <c r="H138" s="6" t="s">
        <v>29</v>
      </c>
      <c r="U138" s="2">
        <f>中央線快速_東京方面_平日[[#This Row],[発車時刻(Time)]]-$D137</f>
        <v>1.388888888888884E-3</v>
      </c>
      <c r="V138" s="4">
        <f t="shared" si="2"/>
        <v>1.8566433566433633</v>
      </c>
    </row>
    <row r="139" spans="2:22" x14ac:dyDescent="0.2">
      <c r="B139" s="7" t="s">
        <v>17</v>
      </c>
      <c r="C139" s="1" t="s">
        <v>22</v>
      </c>
      <c r="D139" s="3">
        <v>0.58194444444444449</v>
      </c>
      <c r="E139" t="s">
        <v>26</v>
      </c>
      <c r="F139" s="1">
        <v>8</v>
      </c>
      <c r="G139" s="1"/>
      <c r="H139" s="6" t="s">
        <v>29</v>
      </c>
      <c r="U139" s="2">
        <f>中央線快速_東京方面_平日[[#This Row],[発車時刻(Time)]]-$D138</f>
        <v>2.083333333333437E-3</v>
      </c>
      <c r="V139" s="4">
        <f t="shared" si="2"/>
        <v>1.2377622377621762</v>
      </c>
    </row>
    <row r="140" spans="2:22" x14ac:dyDescent="0.2">
      <c r="B140" s="7" t="s">
        <v>17</v>
      </c>
      <c r="C140" s="1" t="s">
        <v>21</v>
      </c>
      <c r="D140" s="3">
        <v>0.58611111111111114</v>
      </c>
      <c r="E140" t="s">
        <v>26</v>
      </c>
      <c r="F140" s="1">
        <v>8</v>
      </c>
      <c r="G140" s="1"/>
      <c r="H140" s="6" t="s">
        <v>29</v>
      </c>
      <c r="U140" s="2">
        <f>中央線快速_東京方面_平日[[#This Row],[発車時刻(Time)]]-$D139</f>
        <v>4.1666666666666519E-3</v>
      </c>
      <c r="V140" s="4">
        <f t="shared" si="2"/>
        <v>0.61888111888112107</v>
      </c>
    </row>
    <row r="141" spans="2:22" x14ac:dyDescent="0.2">
      <c r="B141" s="7" t="s">
        <v>17</v>
      </c>
      <c r="C141" s="1" t="s">
        <v>21</v>
      </c>
      <c r="D141" s="3">
        <v>0.59097222222222223</v>
      </c>
      <c r="E141" t="s">
        <v>26</v>
      </c>
      <c r="F141" s="1">
        <v>8</v>
      </c>
      <c r="G141" s="1"/>
      <c r="H141" s="6" t="s">
        <v>29</v>
      </c>
      <c r="U141" s="2">
        <f>中央線快速_東京方面_平日[[#This Row],[発車時刻(Time)]]-$D140</f>
        <v>4.8611111111110938E-3</v>
      </c>
      <c r="V141" s="4">
        <f t="shared" si="2"/>
        <v>0.53046953046953238</v>
      </c>
    </row>
    <row r="142" spans="2:22" x14ac:dyDescent="0.2">
      <c r="B142" s="7" t="s">
        <v>17</v>
      </c>
      <c r="C142" s="1" t="s">
        <v>22</v>
      </c>
      <c r="D142" s="3">
        <v>0.59305555555555556</v>
      </c>
      <c r="E142" t="s">
        <v>26</v>
      </c>
      <c r="F142" s="1">
        <v>8</v>
      </c>
      <c r="G142" s="1"/>
      <c r="H142" s="6" t="s">
        <v>29</v>
      </c>
      <c r="U142" s="2">
        <f>中央線快速_東京方面_平日[[#This Row],[発車時刻(Time)]]-$D141</f>
        <v>2.0833333333333259E-3</v>
      </c>
      <c r="V142" s="4">
        <f t="shared" si="2"/>
        <v>1.2377622377622421</v>
      </c>
    </row>
    <row r="143" spans="2:22" x14ac:dyDescent="0.2">
      <c r="B143" s="7" t="s">
        <v>17</v>
      </c>
      <c r="C143" s="1" t="s">
        <v>21</v>
      </c>
      <c r="D143" s="3">
        <v>0.59583333333333333</v>
      </c>
      <c r="E143" t="s">
        <v>26</v>
      </c>
      <c r="F143" s="1">
        <v>8</v>
      </c>
      <c r="G143" s="1"/>
      <c r="H143" s="6" t="s">
        <v>29</v>
      </c>
      <c r="U143" s="2">
        <f>中央線快速_東京方面_平日[[#This Row],[発車時刻(Time)]]-$D142</f>
        <v>2.7777777777777679E-3</v>
      </c>
      <c r="V143" s="4">
        <f t="shared" si="2"/>
        <v>0.92832167832168166</v>
      </c>
    </row>
    <row r="144" spans="2:22" x14ac:dyDescent="0.2">
      <c r="B144" s="7" t="s">
        <v>17</v>
      </c>
      <c r="C144" s="1" t="s">
        <v>21</v>
      </c>
      <c r="D144" s="3">
        <v>0.59791666666666665</v>
      </c>
      <c r="E144" t="s">
        <v>26</v>
      </c>
      <c r="F144" s="1">
        <v>8</v>
      </c>
      <c r="G144" s="1"/>
      <c r="H144" s="6" t="s">
        <v>29</v>
      </c>
      <c r="U144" s="2">
        <f>中央線快速_東京方面_平日[[#This Row],[発車時刻(Time)]]-$D143</f>
        <v>2.0833333333333259E-3</v>
      </c>
      <c r="V144" s="4">
        <f t="shared" si="2"/>
        <v>1.2377622377622421</v>
      </c>
    </row>
    <row r="145" spans="2:22" x14ac:dyDescent="0.2">
      <c r="B145" s="7" t="s">
        <v>17</v>
      </c>
      <c r="C145" s="1" t="s">
        <v>21</v>
      </c>
      <c r="D145" s="3">
        <v>0.6</v>
      </c>
      <c r="E145" t="s">
        <v>26</v>
      </c>
      <c r="F145" s="1">
        <v>8</v>
      </c>
      <c r="G145" s="1"/>
      <c r="H145" s="6" t="s">
        <v>29</v>
      </c>
      <c r="U145" s="2">
        <f>中央線快速_東京方面_平日[[#This Row],[発車時刻(Time)]]-$D144</f>
        <v>2.0833333333333259E-3</v>
      </c>
      <c r="V145" s="4">
        <f t="shared" si="2"/>
        <v>1.2377622377622421</v>
      </c>
    </row>
    <row r="146" spans="2:22" x14ac:dyDescent="0.2">
      <c r="B146" s="7" t="s">
        <v>17</v>
      </c>
      <c r="C146" s="1" t="s">
        <v>22</v>
      </c>
      <c r="D146" s="3">
        <v>0.60277777777777775</v>
      </c>
      <c r="E146" t="s">
        <v>26</v>
      </c>
      <c r="F146" s="1">
        <v>8</v>
      </c>
      <c r="G146" s="1"/>
      <c r="H146" s="6" t="s">
        <v>29</v>
      </c>
      <c r="U146" s="2">
        <f>中央線快速_東京方面_平日[[#This Row],[発車時刻(Time)]]-$D145</f>
        <v>2.7777777777777679E-3</v>
      </c>
      <c r="V146" s="4">
        <f t="shared" si="2"/>
        <v>0.92832167832168166</v>
      </c>
    </row>
    <row r="147" spans="2:22" x14ac:dyDescent="0.2">
      <c r="B147" s="7" t="s">
        <v>17</v>
      </c>
      <c r="C147" s="1" t="s">
        <v>21</v>
      </c>
      <c r="D147" s="3">
        <v>0.60625000000000007</v>
      </c>
      <c r="E147" t="s">
        <v>26</v>
      </c>
      <c r="F147" s="1">
        <v>8</v>
      </c>
      <c r="G147" s="1"/>
      <c r="H147" s="6" t="s">
        <v>29</v>
      </c>
      <c r="U147" s="2">
        <f>中央線快速_東京方面_平日[[#This Row],[発車時刻(Time)]]-$D146</f>
        <v>3.4722222222223209E-3</v>
      </c>
      <c r="V147" s="4">
        <f t="shared" si="2"/>
        <v>0.74265734265732153</v>
      </c>
    </row>
    <row r="148" spans="2:22" x14ac:dyDescent="0.2">
      <c r="B148" s="7" t="s">
        <v>17</v>
      </c>
      <c r="C148" s="1" t="s">
        <v>22</v>
      </c>
      <c r="D148" s="3">
        <v>0.60902777777777783</v>
      </c>
      <c r="E148" t="s">
        <v>26</v>
      </c>
      <c r="F148" s="1">
        <v>8</v>
      </c>
      <c r="G148" s="1"/>
      <c r="H148" s="6" t="s">
        <v>29</v>
      </c>
      <c r="U148" s="2">
        <f>中央線快速_東京方面_平日[[#This Row],[発車時刻(Time)]]-$D147</f>
        <v>2.7777777777777679E-3</v>
      </c>
      <c r="V148" s="4">
        <f t="shared" si="2"/>
        <v>0.92832167832168166</v>
      </c>
    </row>
    <row r="149" spans="2:22" x14ac:dyDescent="0.2">
      <c r="B149" s="7" t="s">
        <v>17</v>
      </c>
      <c r="C149" s="1" t="s">
        <v>21</v>
      </c>
      <c r="D149" s="3">
        <v>0.61388888888888882</v>
      </c>
      <c r="E149" t="s">
        <v>26</v>
      </c>
      <c r="F149" s="1">
        <v>8</v>
      </c>
      <c r="G149" s="1"/>
      <c r="H149" s="6" t="s">
        <v>29</v>
      </c>
      <c r="U149" s="2">
        <f>中央線快速_東京方面_平日[[#This Row],[発車時刻(Time)]]-$D148</f>
        <v>4.8611111111109828E-3</v>
      </c>
      <c r="V149" s="4">
        <f t="shared" si="2"/>
        <v>0.53046953046954448</v>
      </c>
    </row>
    <row r="150" spans="2:22" x14ac:dyDescent="0.2">
      <c r="B150" s="7" t="s">
        <v>17</v>
      </c>
      <c r="C150" s="1" t="s">
        <v>21</v>
      </c>
      <c r="D150" s="3">
        <v>0.6166666666666667</v>
      </c>
      <c r="E150" t="s">
        <v>26</v>
      </c>
      <c r="F150" s="1">
        <v>8</v>
      </c>
      <c r="G150" s="1"/>
      <c r="H150" s="6" t="s">
        <v>29</v>
      </c>
      <c r="U150" s="2">
        <f>中央線快速_東京方面_平日[[#This Row],[発車時刻(Time)]]-$D149</f>
        <v>2.7777777777778789E-3</v>
      </c>
      <c r="V150" s="4">
        <f t="shared" si="2"/>
        <v>0.92832167832164447</v>
      </c>
    </row>
    <row r="151" spans="2:22" x14ac:dyDescent="0.2">
      <c r="B151" s="7" t="s">
        <v>17</v>
      </c>
      <c r="C151" s="1" t="s">
        <v>25</v>
      </c>
      <c r="D151" s="3">
        <v>0.61944444444444446</v>
      </c>
      <c r="E151" t="s">
        <v>26</v>
      </c>
      <c r="F151" s="1">
        <v>8</v>
      </c>
      <c r="G151" s="1"/>
      <c r="H151" s="6" t="s">
        <v>29</v>
      </c>
      <c r="U151" s="2">
        <f>中央線快速_東京方面_平日[[#This Row],[発車時刻(Time)]]-$D150</f>
        <v>2.7777777777777679E-3</v>
      </c>
      <c r="V151" s="4">
        <f t="shared" si="2"/>
        <v>0.92832167832168166</v>
      </c>
    </row>
    <row r="152" spans="2:22" x14ac:dyDescent="0.2">
      <c r="B152" s="7" t="s">
        <v>17</v>
      </c>
      <c r="C152" s="1" t="s">
        <v>21</v>
      </c>
      <c r="D152" s="3">
        <v>0.62222222222222223</v>
      </c>
      <c r="E152" t="s">
        <v>26</v>
      </c>
      <c r="F152" s="1">
        <v>8</v>
      </c>
      <c r="G152" s="1"/>
      <c r="H152" s="6" t="s">
        <v>29</v>
      </c>
      <c r="U152" s="2">
        <f>中央線快速_東京方面_平日[[#This Row],[発車時刻(Time)]]-$D151</f>
        <v>2.7777777777777679E-3</v>
      </c>
      <c r="V152" s="4">
        <f t="shared" si="2"/>
        <v>0.92832167832168166</v>
      </c>
    </row>
    <row r="153" spans="2:22" x14ac:dyDescent="0.2">
      <c r="B153" s="7" t="s">
        <v>17</v>
      </c>
      <c r="C153" s="1" t="s">
        <v>22</v>
      </c>
      <c r="D153" s="3">
        <v>0.62569444444444444</v>
      </c>
      <c r="E153" t="s">
        <v>26</v>
      </c>
      <c r="F153" s="1">
        <v>8</v>
      </c>
      <c r="G153" s="1"/>
      <c r="H153" s="6" t="s">
        <v>29</v>
      </c>
      <c r="U153" s="2">
        <f>中央線快速_東京方面_平日[[#This Row],[発車時刻(Time)]]-$D152</f>
        <v>3.4722222222222099E-3</v>
      </c>
      <c r="V153" s="4">
        <f t="shared" si="2"/>
        <v>0.74265734265734529</v>
      </c>
    </row>
    <row r="154" spans="2:22" x14ac:dyDescent="0.2">
      <c r="B154" s="7" t="s">
        <v>17</v>
      </c>
      <c r="C154" s="1" t="s">
        <v>21</v>
      </c>
      <c r="D154" s="3">
        <v>0.62847222222222221</v>
      </c>
      <c r="E154" t="s">
        <v>26</v>
      </c>
      <c r="F154" s="1">
        <v>8</v>
      </c>
      <c r="G154" s="1"/>
      <c r="H154" s="6" t="s">
        <v>29</v>
      </c>
      <c r="U154" s="2">
        <f>中央線快速_東京方面_平日[[#This Row],[発車時刻(Time)]]-$D153</f>
        <v>2.7777777777777679E-3</v>
      </c>
      <c r="V154" s="4">
        <f t="shared" si="2"/>
        <v>0.92832167832168166</v>
      </c>
    </row>
    <row r="155" spans="2:22" x14ac:dyDescent="0.2">
      <c r="B155" s="7" t="s">
        <v>17</v>
      </c>
      <c r="C155" s="1" t="s">
        <v>21</v>
      </c>
      <c r="D155" s="3">
        <v>0.63194444444444442</v>
      </c>
      <c r="E155" t="s">
        <v>26</v>
      </c>
      <c r="F155" s="1">
        <v>8</v>
      </c>
      <c r="G155" s="1"/>
      <c r="H155" s="6" t="s">
        <v>29</v>
      </c>
      <c r="U155" s="2">
        <f>中央線快速_東京方面_平日[[#This Row],[発車時刻(Time)]]-$D154</f>
        <v>3.4722222222222099E-3</v>
      </c>
      <c r="V155" s="4">
        <f t="shared" si="2"/>
        <v>0.74265734265734529</v>
      </c>
    </row>
    <row r="156" spans="2:22" x14ac:dyDescent="0.2">
      <c r="B156" s="7" t="s">
        <v>17</v>
      </c>
      <c r="C156" s="1" t="s">
        <v>22</v>
      </c>
      <c r="D156" s="3">
        <v>0.63472222222222219</v>
      </c>
      <c r="E156" t="s">
        <v>26</v>
      </c>
      <c r="F156" s="1">
        <v>8</v>
      </c>
      <c r="G156" s="1"/>
      <c r="H156" s="6" t="s">
        <v>29</v>
      </c>
      <c r="U156" s="2">
        <f>中央線快速_東京方面_平日[[#This Row],[発車時刻(Time)]]-$D155</f>
        <v>2.7777777777777679E-3</v>
      </c>
      <c r="V156" s="4">
        <f t="shared" si="2"/>
        <v>0.92832167832168166</v>
      </c>
    </row>
    <row r="157" spans="2:22" x14ac:dyDescent="0.2">
      <c r="B157" s="7" t="s">
        <v>17</v>
      </c>
      <c r="C157" s="1" t="s">
        <v>21</v>
      </c>
      <c r="D157" s="3">
        <v>0.63680555555555551</v>
      </c>
      <c r="E157" t="s">
        <v>26</v>
      </c>
      <c r="F157" s="1">
        <v>8</v>
      </c>
      <c r="G157" s="1"/>
      <c r="H157" s="6" t="s">
        <v>29</v>
      </c>
      <c r="U157" s="2">
        <f>中央線快速_東京方面_平日[[#This Row],[発車時刻(Time)]]-$D156</f>
        <v>2.0833333333333259E-3</v>
      </c>
      <c r="V157" s="4">
        <f t="shared" si="2"/>
        <v>1.2377622377622421</v>
      </c>
    </row>
    <row r="158" spans="2:22" x14ac:dyDescent="0.2">
      <c r="B158" s="7" t="s">
        <v>17</v>
      </c>
      <c r="C158" s="1" t="s">
        <v>21</v>
      </c>
      <c r="D158" s="3">
        <v>0.63958333333333328</v>
      </c>
      <c r="E158" t="s">
        <v>26</v>
      </c>
      <c r="F158" s="1">
        <v>8</v>
      </c>
      <c r="G158" s="1"/>
      <c r="H158" s="6" t="s">
        <v>29</v>
      </c>
      <c r="U158" s="2">
        <f>中央線快速_東京方面_平日[[#This Row],[発車時刻(Time)]]-$D157</f>
        <v>2.7777777777777679E-3</v>
      </c>
      <c r="V158" s="4">
        <f t="shared" si="2"/>
        <v>0.92832167832168166</v>
      </c>
    </row>
    <row r="159" spans="2:22" x14ac:dyDescent="0.2">
      <c r="B159" s="7" t="s">
        <v>17</v>
      </c>
      <c r="C159" s="1" t="s">
        <v>21</v>
      </c>
      <c r="D159" s="3">
        <v>0.64166666666666672</v>
      </c>
      <c r="E159" t="s">
        <v>26</v>
      </c>
      <c r="F159" s="1">
        <v>8</v>
      </c>
      <c r="G159" s="1"/>
      <c r="H159" s="6" t="s">
        <v>29</v>
      </c>
      <c r="U159" s="2">
        <f>中央線快速_東京方面_平日[[#This Row],[発車時刻(Time)]]-$D158</f>
        <v>2.083333333333437E-3</v>
      </c>
      <c r="V159" s="4">
        <f t="shared" si="2"/>
        <v>1.2377622377621762</v>
      </c>
    </row>
    <row r="160" spans="2:22" x14ac:dyDescent="0.2">
      <c r="B160" s="7" t="s">
        <v>17</v>
      </c>
      <c r="C160" s="1" t="s">
        <v>22</v>
      </c>
      <c r="D160" s="3">
        <v>0.64444444444444449</v>
      </c>
      <c r="E160" t="s">
        <v>26</v>
      </c>
      <c r="F160" s="1">
        <v>8</v>
      </c>
      <c r="G160" s="1"/>
      <c r="H160" s="6" t="s">
        <v>29</v>
      </c>
      <c r="U160" s="2">
        <f>中央線快速_東京方面_平日[[#This Row],[発車時刻(Time)]]-$D159</f>
        <v>2.7777777777777679E-3</v>
      </c>
      <c r="V160" s="4">
        <f t="shared" si="2"/>
        <v>0.92832167832168166</v>
      </c>
    </row>
    <row r="161" spans="2:22" x14ac:dyDescent="0.2">
      <c r="B161" s="7" t="s">
        <v>17</v>
      </c>
      <c r="C161" s="1" t="s">
        <v>21</v>
      </c>
      <c r="D161" s="3">
        <v>0.64930555555555558</v>
      </c>
      <c r="E161" t="s">
        <v>26</v>
      </c>
      <c r="F161" s="1">
        <v>8</v>
      </c>
      <c r="G161" s="1"/>
      <c r="H161" s="6" t="s">
        <v>29</v>
      </c>
      <c r="U161" s="2">
        <f>中央線快速_東京方面_平日[[#This Row],[発車時刻(Time)]]-$D160</f>
        <v>4.8611111111110938E-3</v>
      </c>
      <c r="V161" s="4">
        <f t="shared" si="2"/>
        <v>0.53046953046953238</v>
      </c>
    </row>
    <row r="162" spans="2:22" x14ac:dyDescent="0.2">
      <c r="B162" s="7" t="s">
        <v>17</v>
      </c>
      <c r="C162" s="1" t="s">
        <v>21</v>
      </c>
      <c r="D162" s="3">
        <v>0.65277777777777779</v>
      </c>
      <c r="E162" t="s">
        <v>26</v>
      </c>
      <c r="F162" s="1">
        <v>8</v>
      </c>
      <c r="G162" s="1"/>
      <c r="H162" s="6" t="s">
        <v>29</v>
      </c>
      <c r="U162" s="2">
        <f>中央線快速_東京方面_平日[[#This Row],[発車時刻(Time)]]-$D161</f>
        <v>3.4722222222222099E-3</v>
      </c>
      <c r="V162" s="4">
        <f t="shared" si="2"/>
        <v>0.74265734265734529</v>
      </c>
    </row>
    <row r="163" spans="2:22" x14ac:dyDescent="0.2">
      <c r="B163" s="7" t="s">
        <v>17</v>
      </c>
      <c r="C163" s="1" t="s">
        <v>22</v>
      </c>
      <c r="D163" s="3">
        <v>0.65555555555555556</v>
      </c>
      <c r="E163" t="s">
        <v>26</v>
      </c>
      <c r="F163" s="1">
        <v>8</v>
      </c>
      <c r="G163" s="1"/>
      <c r="H163" s="6" t="s">
        <v>29</v>
      </c>
      <c r="U163" s="2">
        <f>中央線快速_東京方面_平日[[#This Row],[発車時刻(Time)]]-$D162</f>
        <v>2.7777777777777679E-3</v>
      </c>
      <c r="V163" s="4">
        <f t="shared" si="2"/>
        <v>0.92832167832168166</v>
      </c>
    </row>
    <row r="164" spans="2:22" x14ac:dyDescent="0.2">
      <c r="B164" s="7" t="s">
        <v>17</v>
      </c>
      <c r="C164" s="1" t="s">
        <v>21</v>
      </c>
      <c r="D164" s="3">
        <v>0.65833333333333333</v>
      </c>
      <c r="E164" t="s">
        <v>26</v>
      </c>
      <c r="F164" s="1">
        <v>8</v>
      </c>
      <c r="G164" s="1"/>
      <c r="H164" s="6" t="s">
        <v>29</v>
      </c>
      <c r="U164" s="2">
        <f>中央線快速_東京方面_平日[[#This Row],[発車時刻(Time)]]-$D163</f>
        <v>2.7777777777777679E-3</v>
      </c>
      <c r="V164" s="4">
        <f t="shared" si="2"/>
        <v>0.92832167832168166</v>
      </c>
    </row>
    <row r="165" spans="2:22" x14ac:dyDescent="0.2">
      <c r="B165" s="7" t="s">
        <v>17</v>
      </c>
      <c r="C165" s="1" t="s">
        <v>25</v>
      </c>
      <c r="D165" s="3">
        <v>0.66041666666666665</v>
      </c>
      <c r="E165" t="s">
        <v>26</v>
      </c>
      <c r="F165" s="1">
        <v>8</v>
      </c>
      <c r="G165" s="1"/>
      <c r="H165" s="6" t="s">
        <v>29</v>
      </c>
      <c r="U165" s="2">
        <f>中央線快速_東京方面_平日[[#This Row],[発車時刻(Time)]]-$D164</f>
        <v>2.0833333333333259E-3</v>
      </c>
      <c r="V165" s="4">
        <f t="shared" si="2"/>
        <v>1.2377622377622421</v>
      </c>
    </row>
    <row r="166" spans="2:22" x14ac:dyDescent="0.2">
      <c r="B166" s="7" t="s">
        <v>17</v>
      </c>
      <c r="C166" s="1" t="s">
        <v>21</v>
      </c>
      <c r="D166" s="3">
        <v>0.66388888888888886</v>
      </c>
      <c r="E166" t="s">
        <v>26</v>
      </c>
      <c r="F166" s="1">
        <v>8</v>
      </c>
      <c r="G166" s="1"/>
      <c r="H166" s="6" t="s">
        <v>29</v>
      </c>
      <c r="U166" s="2">
        <f>中央線快速_東京方面_平日[[#This Row],[発車時刻(Time)]]-$D165</f>
        <v>3.4722222222222099E-3</v>
      </c>
      <c r="V166" s="4">
        <f t="shared" si="2"/>
        <v>0.74265734265734529</v>
      </c>
    </row>
    <row r="167" spans="2:22" x14ac:dyDescent="0.2">
      <c r="B167" s="7" t="s">
        <v>17</v>
      </c>
      <c r="C167" s="1" t="s">
        <v>22</v>
      </c>
      <c r="D167" s="3">
        <v>0.66736111111111107</v>
      </c>
      <c r="E167" t="s">
        <v>26</v>
      </c>
      <c r="F167" s="1">
        <v>8</v>
      </c>
      <c r="G167" s="1"/>
      <c r="H167" s="6" t="s">
        <v>29</v>
      </c>
      <c r="U167" s="2">
        <f>中央線快速_東京方面_平日[[#This Row],[発車時刻(Time)]]-$D166</f>
        <v>3.4722222222222099E-3</v>
      </c>
      <c r="V167" s="4">
        <f t="shared" si="2"/>
        <v>0.74265734265734529</v>
      </c>
    </row>
    <row r="168" spans="2:22" x14ac:dyDescent="0.2">
      <c r="B168" s="7" t="s">
        <v>17</v>
      </c>
      <c r="C168" s="1" t="s">
        <v>21</v>
      </c>
      <c r="D168" s="3">
        <v>0.67013888888888884</v>
      </c>
      <c r="E168" t="s">
        <v>26</v>
      </c>
      <c r="F168" s="1">
        <v>7</v>
      </c>
      <c r="G168" s="1"/>
      <c r="H168" s="6" t="s">
        <v>29</v>
      </c>
      <c r="U168" s="2">
        <f>中央線快速_東京方面_平日[[#This Row],[発車時刻(Time)]]-$D167</f>
        <v>2.7777777777777679E-3</v>
      </c>
      <c r="V168" s="4">
        <f t="shared" si="2"/>
        <v>0.92832167832168166</v>
      </c>
    </row>
    <row r="169" spans="2:22" x14ac:dyDescent="0.2">
      <c r="B169" s="7" t="s">
        <v>17</v>
      </c>
      <c r="C169" s="1" t="s">
        <v>21</v>
      </c>
      <c r="D169" s="3">
        <v>0.6743055555555556</v>
      </c>
      <c r="E169" t="s">
        <v>26</v>
      </c>
      <c r="F169" s="1">
        <v>8</v>
      </c>
      <c r="G169" s="1"/>
      <c r="H169" s="6" t="s">
        <v>29</v>
      </c>
      <c r="U169" s="2">
        <f>中央線快速_東京方面_平日[[#This Row],[発車時刻(Time)]]-$D168</f>
        <v>4.1666666666667629E-3</v>
      </c>
      <c r="V169" s="4">
        <f t="shared" si="2"/>
        <v>0.61888111888110464</v>
      </c>
    </row>
    <row r="170" spans="2:22" x14ac:dyDescent="0.2">
      <c r="B170" s="7" t="s">
        <v>17</v>
      </c>
      <c r="C170" s="1" t="s">
        <v>22</v>
      </c>
      <c r="D170" s="3">
        <v>0.67708333333333337</v>
      </c>
      <c r="E170" t="s">
        <v>26</v>
      </c>
      <c r="F170" s="1">
        <v>8</v>
      </c>
      <c r="G170" s="1"/>
      <c r="H170" s="6" t="s">
        <v>29</v>
      </c>
      <c r="U170" s="2">
        <f>中央線快速_東京方面_平日[[#This Row],[発車時刻(Time)]]-$D169</f>
        <v>2.7777777777777679E-3</v>
      </c>
      <c r="V170" s="4">
        <f t="shared" si="2"/>
        <v>0.92832167832168166</v>
      </c>
    </row>
    <row r="171" spans="2:22" x14ac:dyDescent="0.2">
      <c r="B171" s="7" t="s">
        <v>17</v>
      </c>
      <c r="C171" s="1" t="s">
        <v>21</v>
      </c>
      <c r="D171" s="3">
        <v>0.67986111111111114</v>
      </c>
      <c r="E171" t="s">
        <v>26</v>
      </c>
      <c r="F171" s="1">
        <v>8</v>
      </c>
      <c r="G171" s="1"/>
      <c r="H171" s="6" t="s">
        <v>29</v>
      </c>
      <c r="U171" s="2">
        <f>中央線快速_東京方面_平日[[#This Row],[発車時刻(Time)]]-$D170</f>
        <v>2.7777777777777679E-3</v>
      </c>
      <c r="V171" s="4">
        <f t="shared" si="2"/>
        <v>0.92832167832168166</v>
      </c>
    </row>
    <row r="172" spans="2:22" x14ac:dyDescent="0.2">
      <c r="B172" s="7" t="s">
        <v>17</v>
      </c>
      <c r="C172" s="1" t="s">
        <v>21</v>
      </c>
      <c r="D172" s="3">
        <v>0.68125000000000002</v>
      </c>
      <c r="E172" t="s">
        <v>26</v>
      </c>
      <c r="F172" s="1">
        <v>8</v>
      </c>
      <c r="G172" s="1"/>
      <c r="H172" s="6" t="s">
        <v>29</v>
      </c>
      <c r="U172" s="2">
        <f>中央線快速_東京方面_平日[[#This Row],[発車時刻(Time)]]-$D171</f>
        <v>1.388888888888884E-3</v>
      </c>
      <c r="V172" s="4">
        <f t="shared" si="2"/>
        <v>1.8566433566433633</v>
      </c>
    </row>
    <row r="173" spans="2:22" x14ac:dyDescent="0.2">
      <c r="B173" s="7" t="s">
        <v>17</v>
      </c>
      <c r="C173" s="1" t="s">
        <v>22</v>
      </c>
      <c r="D173" s="3">
        <v>0.68333333333333324</v>
      </c>
      <c r="E173" t="s">
        <v>26</v>
      </c>
      <c r="F173" s="1">
        <v>8</v>
      </c>
      <c r="G173" s="1"/>
      <c r="H173" s="6" t="s">
        <v>29</v>
      </c>
      <c r="U173" s="2">
        <f>中央線快速_東京方面_平日[[#This Row],[発車時刻(Time)]]-$D172</f>
        <v>2.0833333333332149E-3</v>
      </c>
      <c r="V173" s="4">
        <f t="shared" si="2"/>
        <v>1.2377622377623081</v>
      </c>
    </row>
    <row r="174" spans="2:22" x14ac:dyDescent="0.2">
      <c r="B174" s="7" t="s">
        <v>17</v>
      </c>
      <c r="C174" s="1" t="s">
        <v>21</v>
      </c>
      <c r="D174" s="3">
        <v>0.6875</v>
      </c>
      <c r="E174" t="s">
        <v>26</v>
      </c>
      <c r="F174" s="1">
        <v>8</v>
      </c>
      <c r="G174" s="1"/>
      <c r="H174" s="6" t="s">
        <v>29</v>
      </c>
      <c r="U174" s="2">
        <f>中央線快速_東京方面_平日[[#This Row],[発車時刻(Time)]]-$D173</f>
        <v>4.1666666666667629E-3</v>
      </c>
      <c r="V174" s="4">
        <f t="shared" si="2"/>
        <v>0.61888111888110464</v>
      </c>
    </row>
    <row r="175" spans="2:22" x14ac:dyDescent="0.2">
      <c r="B175" s="7" t="s">
        <v>17</v>
      </c>
      <c r="C175" s="1" t="s">
        <v>21</v>
      </c>
      <c r="D175" s="3">
        <v>0.68958333333333333</v>
      </c>
      <c r="E175" t="s">
        <v>26</v>
      </c>
      <c r="F175" s="1">
        <v>8</v>
      </c>
      <c r="G175" s="1"/>
      <c r="H175" s="6" t="s">
        <v>29</v>
      </c>
      <c r="U175" s="2">
        <f>中央線快速_東京方面_平日[[#This Row],[発車時刻(Time)]]-$D174</f>
        <v>2.0833333333333259E-3</v>
      </c>
      <c r="V175" s="4">
        <f t="shared" si="2"/>
        <v>1.2377622377622421</v>
      </c>
    </row>
    <row r="176" spans="2:22" x14ac:dyDescent="0.2">
      <c r="B176" s="7" t="s">
        <v>17</v>
      </c>
      <c r="C176" s="1" t="s">
        <v>21</v>
      </c>
      <c r="D176" s="3">
        <v>0.69374999999999998</v>
      </c>
      <c r="E176" t="s">
        <v>26</v>
      </c>
      <c r="F176" s="1">
        <v>8</v>
      </c>
      <c r="G176" s="1"/>
      <c r="H176" s="6" t="s">
        <v>29</v>
      </c>
      <c r="U176" s="2">
        <f>中央線快速_東京方面_平日[[#This Row],[発車時刻(Time)]]-$D175</f>
        <v>4.1666666666666519E-3</v>
      </c>
      <c r="V176" s="4">
        <f t="shared" si="2"/>
        <v>0.61888111888112107</v>
      </c>
    </row>
    <row r="177" spans="2:22" x14ac:dyDescent="0.2">
      <c r="B177" s="7" t="s">
        <v>17</v>
      </c>
      <c r="C177" s="1" t="s">
        <v>21</v>
      </c>
      <c r="D177" s="3">
        <v>0.6972222222222223</v>
      </c>
      <c r="E177" t="s">
        <v>26</v>
      </c>
      <c r="F177" s="1">
        <v>8</v>
      </c>
      <c r="G177" s="1"/>
      <c r="H177" s="6" t="s">
        <v>29</v>
      </c>
      <c r="U177" s="2">
        <f>中央線快速_東京方面_平日[[#This Row],[発車時刻(Time)]]-$D176</f>
        <v>3.4722222222223209E-3</v>
      </c>
      <c r="V177" s="4">
        <f t="shared" si="2"/>
        <v>0.74265734265732153</v>
      </c>
    </row>
    <row r="178" spans="2:22" x14ac:dyDescent="0.2">
      <c r="B178" s="7" t="s">
        <v>17</v>
      </c>
      <c r="C178" s="1" t="s">
        <v>21</v>
      </c>
      <c r="D178" s="3">
        <v>0.69930555555555562</v>
      </c>
      <c r="E178" t="s">
        <v>26</v>
      </c>
      <c r="F178" s="1">
        <v>8</v>
      </c>
      <c r="G178" s="1"/>
      <c r="H178" s="6" t="s">
        <v>29</v>
      </c>
      <c r="U178" s="2">
        <f>中央線快速_東京方面_平日[[#This Row],[発車時刻(Time)]]-$D177</f>
        <v>2.0833333333333259E-3</v>
      </c>
      <c r="V178" s="4">
        <f t="shared" si="2"/>
        <v>1.2377622377622421</v>
      </c>
    </row>
    <row r="179" spans="2:22" x14ac:dyDescent="0.2">
      <c r="B179" s="7" t="s">
        <v>17</v>
      </c>
      <c r="C179" s="1" t="s">
        <v>21</v>
      </c>
      <c r="D179" s="3">
        <v>0.7006944444444444</v>
      </c>
      <c r="E179" t="s">
        <v>26</v>
      </c>
      <c r="F179" s="1">
        <v>8</v>
      </c>
      <c r="G179" s="1"/>
      <c r="H179" s="6" t="s">
        <v>29</v>
      </c>
      <c r="U179" s="2">
        <f>中央線快速_東京方面_平日[[#This Row],[発車時刻(Time)]]-$D178</f>
        <v>1.3888888888887729E-3</v>
      </c>
      <c r="V179" s="4">
        <f t="shared" si="2"/>
        <v>1.8566433566435119</v>
      </c>
    </row>
    <row r="180" spans="2:22" x14ac:dyDescent="0.2">
      <c r="B180" s="7" t="s">
        <v>17</v>
      </c>
      <c r="C180" s="1" t="s">
        <v>22</v>
      </c>
      <c r="D180" s="3">
        <v>0.70277777777777783</v>
      </c>
      <c r="E180" t="s">
        <v>26</v>
      </c>
      <c r="F180" s="1">
        <v>8</v>
      </c>
      <c r="G180" s="1"/>
      <c r="H180" s="6" t="s">
        <v>29</v>
      </c>
      <c r="U180" s="2">
        <f>中央線快速_東京方面_平日[[#This Row],[発車時刻(Time)]]-$D179</f>
        <v>2.083333333333437E-3</v>
      </c>
      <c r="V180" s="4">
        <f t="shared" si="2"/>
        <v>1.2377622377621762</v>
      </c>
    </row>
    <row r="181" spans="2:22" x14ac:dyDescent="0.2">
      <c r="B181" s="7" t="s">
        <v>17</v>
      </c>
      <c r="C181" s="1" t="s">
        <v>21</v>
      </c>
      <c r="D181" s="3">
        <v>0.70416666666666661</v>
      </c>
      <c r="E181" t="s">
        <v>26</v>
      </c>
      <c r="F181" s="1">
        <v>8</v>
      </c>
      <c r="G181" s="1"/>
      <c r="H181" s="6" t="s">
        <v>29</v>
      </c>
      <c r="U181" s="2">
        <f>中央線快速_東京方面_平日[[#This Row],[発車時刻(Time)]]-$D180</f>
        <v>1.3888888888887729E-3</v>
      </c>
      <c r="V181" s="4">
        <f t="shared" si="2"/>
        <v>1.8566433566435119</v>
      </c>
    </row>
    <row r="182" spans="2:22" x14ac:dyDescent="0.2">
      <c r="B182" s="7" t="s">
        <v>17</v>
      </c>
      <c r="C182" s="1" t="s">
        <v>21</v>
      </c>
      <c r="D182" s="3">
        <v>0.70624999999999993</v>
      </c>
      <c r="E182" t="s">
        <v>26</v>
      </c>
      <c r="F182" s="1">
        <v>8</v>
      </c>
      <c r="G182" s="1"/>
      <c r="H182" s="6" t="s">
        <v>29</v>
      </c>
      <c r="U182" s="2">
        <f>中央線快速_東京方面_平日[[#This Row],[発車時刻(Time)]]-$D181</f>
        <v>2.0833333333333259E-3</v>
      </c>
      <c r="V182" s="4">
        <f t="shared" si="2"/>
        <v>1.2377622377622421</v>
      </c>
    </row>
    <row r="183" spans="2:22" x14ac:dyDescent="0.2">
      <c r="B183" s="7" t="s">
        <v>17</v>
      </c>
      <c r="C183" s="1" t="s">
        <v>21</v>
      </c>
      <c r="D183" s="3">
        <v>0.70833333333333337</v>
      </c>
      <c r="E183" t="s">
        <v>26</v>
      </c>
      <c r="F183" s="1">
        <v>8</v>
      </c>
      <c r="G183" s="1"/>
      <c r="H183" s="6" t="s">
        <v>29</v>
      </c>
      <c r="U183" s="2">
        <f>中央線快速_東京方面_平日[[#This Row],[発車時刻(Time)]]-$D182</f>
        <v>2.083333333333437E-3</v>
      </c>
      <c r="V183" s="4">
        <f t="shared" si="2"/>
        <v>1.2377622377621762</v>
      </c>
    </row>
    <row r="184" spans="2:22" x14ac:dyDescent="0.2">
      <c r="B184" s="7" t="s">
        <v>17</v>
      </c>
      <c r="C184" s="1" t="s">
        <v>21</v>
      </c>
      <c r="D184" s="3">
        <v>0.71180555555555547</v>
      </c>
      <c r="E184" t="s">
        <v>26</v>
      </c>
      <c r="F184" s="1">
        <v>8</v>
      </c>
      <c r="G184" s="1"/>
      <c r="H184" s="6" t="s">
        <v>29</v>
      </c>
      <c r="U184" s="2">
        <f>中央線快速_東京方面_平日[[#This Row],[発車時刻(Time)]]-$D183</f>
        <v>3.4722222222220989E-3</v>
      </c>
      <c r="V184" s="4">
        <f t="shared" si="2"/>
        <v>0.74265734265736905</v>
      </c>
    </row>
    <row r="185" spans="2:22" x14ac:dyDescent="0.2">
      <c r="B185" s="7" t="s">
        <v>17</v>
      </c>
      <c r="C185" s="1" t="s">
        <v>21</v>
      </c>
      <c r="D185" s="3">
        <v>0.71458333333333324</v>
      </c>
      <c r="E185" t="s">
        <v>26</v>
      </c>
      <c r="F185" s="1">
        <v>8</v>
      </c>
      <c r="G185" s="1"/>
      <c r="H185" s="6" t="s">
        <v>29</v>
      </c>
      <c r="U185" s="2">
        <f>中央線快速_東京方面_平日[[#This Row],[発車時刻(Time)]]-$D184</f>
        <v>2.7777777777777679E-3</v>
      </c>
      <c r="V185" s="4">
        <f t="shared" si="2"/>
        <v>0.92832167832168166</v>
      </c>
    </row>
    <row r="186" spans="2:22" x14ac:dyDescent="0.2">
      <c r="B186" s="7" t="s">
        <v>17</v>
      </c>
      <c r="C186" s="1" t="s">
        <v>21</v>
      </c>
      <c r="D186" s="3">
        <v>0.71597222222222223</v>
      </c>
      <c r="E186" t="s">
        <v>26</v>
      </c>
      <c r="F186" s="1">
        <v>8</v>
      </c>
      <c r="G186" s="1"/>
      <c r="H186" s="6" t="s">
        <v>29</v>
      </c>
      <c r="U186" s="2">
        <f>中央線快速_東京方面_平日[[#This Row],[発車時刻(Time)]]-$D185</f>
        <v>1.388888888888995E-3</v>
      </c>
      <c r="V186" s="4">
        <f t="shared" si="2"/>
        <v>1.8566433566432148</v>
      </c>
    </row>
    <row r="187" spans="2:22" x14ac:dyDescent="0.2">
      <c r="B187" s="7" t="s">
        <v>17</v>
      </c>
      <c r="C187" s="1" t="s">
        <v>21</v>
      </c>
      <c r="D187" s="3">
        <v>0.71736111111111101</v>
      </c>
      <c r="E187" t="s">
        <v>26</v>
      </c>
      <c r="F187" s="1">
        <v>8</v>
      </c>
      <c r="G187" s="1"/>
      <c r="H187" s="6" t="s">
        <v>29</v>
      </c>
      <c r="U187" s="2">
        <f>中央線快速_東京方面_平日[[#This Row],[発車時刻(Time)]]-$D186</f>
        <v>1.3888888888887729E-3</v>
      </c>
      <c r="V187" s="4">
        <f t="shared" si="2"/>
        <v>1.8566433566435119</v>
      </c>
    </row>
    <row r="188" spans="2:22" x14ac:dyDescent="0.2">
      <c r="B188" s="7" t="s">
        <v>17</v>
      </c>
      <c r="C188" s="1" t="s">
        <v>21</v>
      </c>
      <c r="D188" s="3">
        <v>0.71875</v>
      </c>
      <c r="E188" t="s">
        <v>26</v>
      </c>
      <c r="F188" s="1">
        <v>8</v>
      </c>
      <c r="G188" s="1"/>
      <c r="H188" s="6" t="s">
        <v>29</v>
      </c>
      <c r="U188" s="2">
        <f>中央線快速_東京方面_平日[[#This Row],[発車時刻(Time)]]-$D187</f>
        <v>1.388888888888995E-3</v>
      </c>
      <c r="V188" s="4">
        <f t="shared" si="2"/>
        <v>1.8566433566432148</v>
      </c>
    </row>
    <row r="189" spans="2:22" x14ac:dyDescent="0.2">
      <c r="B189" s="7" t="s">
        <v>17</v>
      </c>
      <c r="C189" s="1" t="s">
        <v>21</v>
      </c>
      <c r="D189" s="3">
        <v>0.72083333333333333</v>
      </c>
      <c r="E189" t="s">
        <v>26</v>
      </c>
      <c r="F189" s="1">
        <v>8</v>
      </c>
      <c r="G189" s="1"/>
      <c r="H189" s="6" t="s">
        <v>29</v>
      </c>
      <c r="U189" s="2">
        <f>中央線快速_東京方面_平日[[#This Row],[発車時刻(Time)]]-$D188</f>
        <v>2.0833333333333259E-3</v>
      </c>
      <c r="V189" s="4">
        <f t="shared" si="2"/>
        <v>1.2377622377622421</v>
      </c>
    </row>
    <row r="190" spans="2:22" x14ac:dyDescent="0.2">
      <c r="B190" s="7" t="s">
        <v>17</v>
      </c>
      <c r="C190" s="1" t="s">
        <v>22</v>
      </c>
      <c r="D190" s="3">
        <v>0.72291666666666676</v>
      </c>
      <c r="E190" t="s">
        <v>26</v>
      </c>
      <c r="F190" s="1">
        <v>8</v>
      </c>
      <c r="G190" s="1"/>
      <c r="H190" s="6" t="s">
        <v>29</v>
      </c>
      <c r="U190" s="2">
        <f>中央線快速_東京方面_平日[[#This Row],[発車時刻(Time)]]-$D189</f>
        <v>2.083333333333437E-3</v>
      </c>
      <c r="V190" s="4">
        <f t="shared" si="2"/>
        <v>1.2377622377621762</v>
      </c>
    </row>
    <row r="191" spans="2:22" x14ac:dyDescent="0.2">
      <c r="B191" s="7" t="s">
        <v>17</v>
      </c>
      <c r="C191" s="1" t="s">
        <v>21</v>
      </c>
      <c r="D191" s="3">
        <v>0.72499999999999998</v>
      </c>
      <c r="E191" t="s">
        <v>26</v>
      </c>
      <c r="F191" s="1">
        <v>8</v>
      </c>
      <c r="G191" s="1"/>
      <c r="H191" s="6" t="s">
        <v>29</v>
      </c>
      <c r="U191" s="2">
        <f>中央線快速_東京方面_平日[[#This Row],[発車時刻(Time)]]-$D190</f>
        <v>2.0833333333332149E-3</v>
      </c>
      <c r="V191" s="4">
        <f t="shared" si="2"/>
        <v>1.2377622377623081</v>
      </c>
    </row>
    <row r="192" spans="2:22" x14ac:dyDescent="0.2">
      <c r="B192" s="7" t="s">
        <v>17</v>
      </c>
      <c r="C192" s="1" t="s">
        <v>21</v>
      </c>
      <c r="D192" s="3">
        <v>0.72777777777777775</v>
      </c>
      <c r="E192" t="s">
        <v>26</v>
      </c>
      <c r="F192" s="1">
        <v>8</v>
      </c>
      <c r="G192" s="1"/>
      <c r="H192" s="6" t="s">
        <v>29</v>
      </c>
      <c r="U192" s="2">
        <f>中央線快速_東京方面_平日[[#This Row],[発車時刻(Time)]]-$D191</f>
        <v>2.7777777777777679E-3</v>
      </c>
      <c r="V192" s="4">
        <f t="shared" si="2"/>
        <v>0.92832167832168166</v>
      </c>
    </row>
    <row r="193" spans="2:22" x14ac:dyDescent="0.2">
      <c r="B193" s="7" t="s">
        <v>17</v>
      </c>
      <c r="C193" s="1" t="s">
        <v>21</v>
      </c>
      <c r="D193" s="3">
        <v>0.72916666666666663</v>
      </c>
      <c r="E193" t="s">
        <v>26</v>
      </c>
      <c r="F193" s="1">
        <v>8</v>
      </c>
      <c r="G193" s="1"/>
      <c r="H193" s="6" t="s">
        <v>29</v>
      </c>
      <c r="U193" s="2">
        <f>中央線快速_東京方面_平日[[#This Row],[発車時刻(Time)]]-$D192</f>
        <v>1.388888888888884E-3</v>
      </c>
      <c r="V193" s="4">
        <f t="shared" si="2"/>
        <v>1.8566433566433633</v>
      </c>
    </row>
    <row r="194" spans="2:22" x14ac:dyDescent="0.2">
      <c r="B194" s="7" t="s">
        <v>17</v>
      </c>
      <c r="C194" s="1" t="s">
        <v>21</v>
      </c>
      <c r="D194" s="3">
        <v>0.73125000000000007</v>
      </c>
      <c r="E194" t="s">
        <v>26</v>
      </c>
      <c r="F194" s="1">
        <v>8</v>
      </c>
      <c r="G194" s="1"/>
      <c r="H194" s="6" t="s">
        <v>29</v>
      </c>
      <c r="U194" s="2">
        <f>中央線快速_東京方面_平日[[#This Row],[発車時刻(Time)]]-$D193</f>
        <v>2.083333333333437E-3</v>
      </c>
      <c r="V194" s="4">
        <f t="shared" si="2"/>
        <v>1.2377622377621762</v>
      </c>
    </row>
    <row r="195" spans="2:22" x14ac:dyDescent="0.2">
      <c r="B195" s="7" t="s">
        <v>17</v>
      </c>
      <c r="C195" s="1" t="s">
        <v>21</v>
      </c>
      <c r="D195" s="3">
        <v>0.73333333333333339</v>
      </c>
      <c r="E195" t="s">
        <v>26</v>
      </c>
      <c r="F195" s="1">
        <v>8</v>
      </c>
      <c r="G195" s="1"/>
      <c r="H195" s="6" t="s">
        <v>29</v>
      </c>
      <c r="U195" s="2">
        <f>中央線快速_東京方面_平日[[#This Row],[発車時刻(Time)]]-$D194</f>
        <v>2.0833333333333259E-3</v>
      </c>
      <c r="V195" s="4">
        <f t="shared" si="2"/>
        <v>1.2377622377622421</v>
      </c>
    </row>
    <row r="196" spans="2:22" x14ac:dyDescent="0.2">
      <c r="B196" s="7" t="s">
        <v>17</v>
      </c>
      <c r="C196" s="1" t="s">
        <v>21</v>
      </c>
      <c r="D196" s="3">
        <v>0.73541666666666661</v>
      </c>
      <c r="E196" t="s">
        <v>26</v>
      </c>
      <c r="F196" s="1">
        <v>8</v>
      </c>
      <c r="G196" s="1"/>
      <c r="H196" s="6" t="s">
        <v>29</v>
      </c>
      <c r="U196" s="2">
        <f>中央線快速_東京方面_平日[[#This Row],[発車時刻(Time)]]-$D195</f>
        <v>2.0833333333332149E-3</v>
      </c>
      <c r="V196" s="4">
        <f t="shared" ref="V196:V259" si="3">IFERROR((1/(U196/$K$14)), 0)</f>
        <v>1.2377622377623081</v>
      </c>
    </row>
    <row r="197" spans="2:22" x14ac:dyDescent="0.2">
      <c r="B197" s="7" t="s">
        <v>17</v>
      </c>
      <c r="C197" s="1" t="s">
        <v>21</v>
      </c>
      <c r="D197" s="3">
        <v>0.7368055555555556</v>
      </c>
      <c r="E197" t="s">
        <v>26</v>
      </c>
      <c r="F197" s="1">
        <v>8</v>
      </c>
      <c r="G197" s="1"/>
      <c r="H197" s="6" t="s">
        <v>29</v>
      </c>
      <c r="U197" s="2">
        <f>中央線快速_東京方面_平日[[#This Row],[発車時刻(Time)]]-$D196</f>
        <v>1.388888888888995E-3</v>
      </c>
      <c r="V197" s="4">
        <f t="shared" si="3"/>
        <v>1.8566433566432148</v>
      </c>
    </row>
    <row r="198" spans="2:22" x14ac:dyDescent="0.2">
      <c r="B198" s="7" t="s">
        <v>17</v>
      </c>
      <c r="C198" s="1" t="s">
        <v>22</v>
      </c>
      <c r="D198" s="3">
        <v>0.7402777777777777</v>
      </c>
      <c r="E198" t="s">
        <v>26</v>
      </c>
      <c r="F198" s="1">
        <v>8</v>
      </c>
      <c r="G198" s="1"/>
      <c r="H198" s="6" t="s">
        <v>29</v>
      </c>
      <c r="U198" s="2">
        <f>中央線快速_東京方面_平日[[#This Row],[発車時刻(Time)]]-$D197</f>
        <v>3.4722222222220989E-3</v>
      </c>
      <c r="V198" s="4">
        <f t="shared" si="3"/>
        <v>0.74265734265736905</v>
      </c>
    </row>
    <row r="199" spans="2:22" x14ac:dyDescent="0.2">
      <c r="B199" s="7" t="s">
        <v>17</v>
      </c>
      <c r="C199" s="1" t="s">
        <v>21</v>
      </c>
      <c r="D199" s="3">
        <v>0.7416666666666667</v>
      </c>
      <c r="E199" t="s">
        <v>26</v>
      </c>
      <c r="F199" s="1">
        <v>8</v>
      </c>
      <c r="G199" s="1"/>
      <c r="H199" s="6" t="s">
        <v>29</v>
      </c>
      <c r="U199" s="2">
        <f>中央線快速_東京方面_平日[[#This Row],[発車時刻(Time)]]-$D198</f>
        <v>1.388888888888995E-3</v>
      </c>
      <c r="V199" s="4">
        <f t="shared" si="3"/>
        <v>1.8566433566432148</v>
      </c>
    </row>
    <row r="200" spans="2:22" x14ac:dyDescent="0.2">
      <c r="B200" s="7" t="s">
        <v>17</v>
      </c>
      <c r="C200" s="1" t="s">
        <v>21</v>
      </c>
      <c r="D200" s="3">
        <v>0.74375000000000002</v>
      </c>
      <c r="E200" t="s">
        <v>26</v>
      </c>
      <c r="F200" s="1">
        <v>8</v>
      </c>
      <c r="G200" s="1"/>
      <c r="H200" s="6" t="s">
        <v>29</v>
      </c>
      <c r="U200" s="2">
        <f>中央線快速_東京方面_平日[[#This Row],[発車時刻(Time)]]-$D199</f>
        <v>2.0833333333333259E-3</v>
      </c>
      <c r="V200" s="4">
        <f t="shared" si="3"/>
        <v>1.2377622377622421</v>
      </c>
    </row>
    <row r="201" spans="2:22" x14ac:dyDescent="0.2">
      <c r="B201" s="7" t="s">
        <v>17</v>
      </c>
      <c r="C201" s="1" t="s">
        <v>21</v>
      </c>
      <c r="D201" s="3">
        <v>0.74652777777777779</v>
      </c>
      <c r="E201" t="s">
        <v>26</v>
      </c>
      <c r="F201" s="1">
        <v>8</v>
      </c>
      <c r="G201" s="1"/>
      <c r="H201" s="6" t="s">
        <v>29</v>
      </c>
      <c r="U201" s="2">
        <f>中央線快速_東京方面_平日[[#This Row],[発車時刻(Time)]]-$D200</f>
        <v>2.7777777777777679E-3</v>
      </c>
      <c r="V201" s="4">
        <f t="shared" si="3"/>
        <v>0.92832167832168166</v>
      </c>
    </row>
    <row r="202" spans="2:22" x14ac:dyDescent="0.2">
      <c r="B202" s="7" t="s">
        <v>17</v>
      </c>
      <c r="C202" s="1" t="s">
        <v>21</v>
      </c>
      <c r="D202" s="3">
        <v>0.74791666666666667</v>
      </c>
      <c r="E202" t="s">
        <v>26</v>
      </c>
      <c r="F202" s="1">
        <v>8</v>
      </c>
      <c r="G202" s="1"/>
      <c r="H202" s="6" t="s">
        <v>29</v>
      </c>
      <c r="U202" s="2">
        <f>中央線快速_東京方面_平日[[#This Row],[発車時刻(Time)]]-$D201</f>
        <v>1.388888888888884E-3</v>
      </c>
      <c r="V202" s="4">
        <f t="shared" si="3"/>
        <v>1.8566433566433633</v>
      </c>
    </row>
    <row r="203" spans="2:22" x14ac:dyDescent="0.2">
      <c r="B203" s="7" t="s">
        <v>17</v>
      </c>
      <c r="C203" s="1" t="s">
        <v>21</v>
      </c>
      <c r="D203" s="3">
        <v>0.75</v>
      </c>
      <c r="E203" t="s">
        <v>26</v>
      </c>
      <c r="F203" s="1">
        <v>8</v>
      </c>
      <c r="G203" s="1"/>
      <c r="H203" s="6" t="s">
        <v>29</v>
      </c>
      <c r="U203" s="2">
        <f>中央線快速_東京方面_平日[[#This Row],[発車時刻(Time)]]-$D202</f>
        <v>2.0833333333333259E-3</v>
      </c>
      <c r="V203" s="4">
        <f t="shared" si="3"/>
        <v>1.2377622377622421</v>
      </c>
    </row>
    <row r="204" spans="2:22" x14ac:dyDescent="0.2">
      <c r="B204" s="7" t="s">
        <v>17</v>
      </c>
      <c r="C204" s="1" t="s">
        <v>21</v>
      </c>
      <c r="D204" s="3">
        <v>0.75208333333333333</v>
      </c>
      <c r="E204" t="s">
        <v>26</v>
      </c>
      <c r="F204" s="1">
        <v>8</v>
      </c>
      <c r="G204" s="1"/>
      <c r="H204" s="6" t="s">
        <v>29</v>
      </c>
      <c r="U204" s="2">
        <f>中央線快速_東京方面_平日[[#This Row],[発車時刻(Time)]]-$D203</f>
        <v>2.0833333333333259E-3</v>
      </c>
      <c r="V204" s="4">
        <f t="shared" si="3"/>
        <v>1.2377622377622421</v>
      </c>
    </row>
    <row r="205" spans="2:22" x14ac:dyDescent="0.2">
      <c r="B205" s="7" t="s">
        <v>17</v>
      </c>
      <c r="C205" s="1" t="s">
        <v>21</v>
      </c>
      <c r="D205" s="3">
        <v>0.75416666666666676</v>
      </c>
      <c r="E205" t="s">
        <v>26</v>
      </c>
      <c r="F205" s="1">
        <v>8</v>
      </c>
      <c r="G205" s="1"/>
      <c r="H205" s="6" t="s">
        <v>29</v>
      </c>
      <c r="U205" s="2">
        <f>中央線快速_東京方面_平日[[#This Row],[発車時刻(Time)]]-$D204</f>
        <v>2.083333333333437E-3</v>
      </c>
      <c r="V205" s="4">
        <f t="shared" si="3"/>
        <v>1.2377622377621762</v>
      </c>
    </row>
    <row r="206" spans="2:22" x14ac:dyDescent="0.2">
      <c r="B206" s="7" t="s">
        <v>17</v>
      </c>
      <c r="C206" s="1" t="s">
        <v>21</v>
      </c>
      <c r="D206" s="3">
        <v>0.75694444444444453</v>
      </c>
      <c r="E206" t="s">
        <v>26</v>
      </c>
      <c r="F206" s="1">
        <v>8</v>
      </c>
      <c r="G206" s="1"/>
      <c r="H206" s="6" t="s">
        <v>29</v>
      </c>
      <c r="U206" s="2">
        <f>中央線快速_東京方面_平日[[#This Row],[発車時刻(Time)]]-$D205</f>
        <v>2.7777777777777679E-3</v>
      </c>
      <c r="V206" s="4">
        <f t="shared" si="3"/>
        <v>0.92832167832168166</v>
      </c>
    </row>
    <row r="207" spans="2:22" x14ac:dyDescent="0.2">
      <c r="B207" s="7" t="s">
        <v>17</v>
      </c>
      <c r="C207" s="1" t="s">
        <v>21</v>
      </c>
      <c r="D207" s="3">
        <v>0.7583333333333333</v>
      </c>
      <c r="E207" t="s">
        <v>26</v>
      </c>
      <c r="F207" s="1">
        <v>8</v>
      </c>
      <c r="G207" s="1"/>
      <c r="H207" s="6" t="s">
        <v>29</v>
      </c>
      <c r="U207" s="2">
        <f>中央線快速_東京方面_平日[[#This Row],[発車時刻(Time)]]-$D206</f>
        <v>1.3888888888887729E-3</v>
      </c>
      <c r="V207" s="4">
        <f t="shared" si="3"/>
        <v>1.8566433566435119</v>
      </c>
    </row>
    <row r="208" spans="2:22" x14ac:dyDescent="0.2">
      <c r="B208" s="7" t="s">
        <v>17</v>
      </c>
      <c r="C208" s="1" t="s">
        <v>21</v>
      </c>
      <c r="D208" s="3">
        <v>0.76111111111111107</v>
      </c>
      <c r="E208" t="s">
        <v>26</v>
      </c>
      <c r="F208" s="1">
        <v>8</v>
      </c>
      <c r="G208" s="1"/>
      <c r="H208" s="6" t="s">
        <v>29</v>
      </c>
      <c r="U208" s="2">
        <f>中央線快速_東京方面_平日[[#This Row],[発車時刻(Time)]]-$D207</f>
        <v>2.7777777777777679E-3</v>
      </c>
      <c r="V208" s="4">
        <f t="shared" si="3"/>
        <v>0.92832167832168166</v>
      </c>
    </row>
    <row r="209" spans="2:22" x14ac:dyDescent="0.2">
      <c r="B209" s="7" t="s">
        <v>17</v>
      </c>
      <c r="C209" s="1" t="s">
        <v>22</v>
      </c>
      <c r="D209" s="3">
        <v>0.7631944444444444</v>
      </c>
      <c r="E209" t="s">
        <v>26</v>
      </c>
      <c r="F209" s="1">
        <v>8</v>
      </c>
      <c r="G209" s="1"/>
      <c r="H209" s="6" t="s">
        <v>29</v>
      </c>
      <c r="U209" s="2">
        <f>中央線快速_東京方面_平日[[#This Row],[発車時刻(Time)]]-$D208</f>
        <v>2.0833333333333259E-3</v>
      </c>
      <c r="V209" s="4">
        <f t="shared" si="3"/>
        <v>1.2377622377622421</v>
      </c>
    </row>
    <row r="210" spans="2:22" x14ac:dyDescent="0.2">
      <c r="B210" s="7" t="s">
        <v>17</v>
      </c>
      <c r="C210" s="1" t="s">
        <v>21</v>
      </c>
      <c r="D210" s="3">
        <v>0.76527777777777783</v>
      </c>
      <c r="E210" t="s">
        <v>26</v>
      </c>
      <c r="F210" s="1">
        <v>8</v>
      </c>
      <c r="G210" s="1"/>
      <c r="H210" s="6" t="s">
        <v>29</v>
      </c>
      <c r="U210" s="2">
        <f>中央線快速_東京方面_平日[[#This Row],[発車時刻(Time)]]-$D209</f>
        <v>2.083333333333437E-3</v>
      </c>
      <c r="V210" s="4">
        <f t="shared" si="3"/>
        <v>1.2377622377621762</v>
      </c>
    </row>
    <row r="211" spans="2:22" x14ac:dyDescent="0.2">
      <c r="B211" s="7" t="s">
        <v>17</v>
      </c>
      <c r="C211" s="1" t="s">
        <v>21</v>
      </c>
      <c r="D211" s="3">
        <v>0.7680555555555556</v>
      </c>
      <c r="E211" t="s">
        <v>26</v>
      </c>
      <c r="F211" s="1">
        <v>8</v>
      </c>
      <c r="G211" s="1"/>
      <c r="H211" s="6" t="s">
        <v>29</v>
      </c>
      <c r="U211" s="2">
        <f>中央線快速_東京方面_平日[[#This Row],[発車時刻(Time)]]-$D210</f>
        <v>2.7777777777777679E-3</v>
      </c>
      <c r="V211" s="4">
        <f t="shared" si="3"/>
        <v>0.92832167832168166</v>
      </c>
    </row>
    <row r="212" spans="2:22" x14ac:dyDescent="0.2">
      <c r="B212" s="7" t="s">
        <v>17</v>
      </c>
      <c r="C212" s="1" t="s">
        <v>21</v>
      </c>
      <c r="D212" s="3">
        <v>0.77083333333333337</v>
      </c>
      <c r="E212" t="s">
        <v>26</v>
      </c>
      <c r="F212" s="1">
        <v>8</v>
      </c>
      <c r="G212" s="1"/>
      <c r="H212" s="6" t="s">
        <v>29</v>
      </c>
      <c r="U212" s="2">
        <f>中央線快速_東京方面_平日[[#This Row],[発車時刻(Time)]]-$D211</f>
        <v>2.7777777777777679E-3</v>
      </c>
      <c r="V212" s="4">
        <f t="shared" si="3"/>
        <v>0.92832167832168166</v>
      </c>
    </row>
    <row r="213" spans="2:22" x14ac:dyDescent="0.2">
      <c r="B213" s="7" t="s">
        <v>17</v>
      </c>
      <c r="C213" s="1" t="s">
        <v>21</v>
      </c>
      <c r="D213" s="3">
        <v>0.77361111111111114</v>
      </c>
      <c r="E213" t="s">
        <v>26</v>
      </c>
      <c r="F213" s="1">
        <v>8</v>
      </c>
      <c r="G213" s="1"/>
      <c r="H213" s="6" t="s">
        <v>29</v>
      </c>
      <c r="U213" s="2">
        <f>中央線快速_東京方面_平日[[#This Row],[発車時刻(Time)]]-$D212</f>
        <v>2.7777777777777679E-3</v>
      </c>
      <c r="V213" s="4">
        <f t="shared" si="3"/>
        <v>0.92832167832168166</v>
      </c>
    </row>
    <row r="214" spans="2:22" x14ac:dyDescent="0.2">
      <c r="B214" s="7" t="s">
        <v>17</v>
      </c>
      <c r="C214" s="1" t="s">
        <v>21</v>
      </c>
      <c r="D214" s="3">
        <v>0.77638888888888891</v>
      </c>
      <c r="E214" t="s">
        <v>26</v>
      </c>
      <c r="F214" s="1">
        <v>8</v>
      </c>
      <c r="G214" s="1"/>
      <c r="H214" s="6" t="s">
        <v>29</v>
      </c>
      <c r="U214" s="2">
        <f>中央線快速_東京方面_平日[[#This Row],[発車時刻(Time)]]-$D213</f>
        <v>2.7777777777777679E-3</v>
      </c>
      <c r="V214" s="4">
        <f t="shared" si="3"/>
        <v>0.92832167832168166</v>
      </c>
    </row>
    <row r="215" spans="2:22" x14ac:dyDescent="0.2">
      <c r="B215" s="7" t="s">
        <v>17</v>
      </c>
      <c r="C215" s="1" t="s">
        <v>21</v>
      </c>
      <c r="D215" s="3">
        <v>0.77916666666666667</v>
      </c>
      <c r="E215" t="s">
        <v>26</v>
      </c>
      <c r="F215" s="1">
        <v>8</v>
      </c>
      <c r="G215" s="1"/>
      <c r="H215" s="6" t="s">
        <v>29</v>
      </c>
      <c r="U215" s="2">
        <f>中央線快速_東京方面_平日[[#This Row],[発車時刻(Time)]]-$D214</f>
        <v>2.7777777777777679E-3</v>
      </c>
      <c r="V215" s="4">
        <f t="shared" si="3"/>
        <v>0.92832167832168166</v>
      </c>
    </row>
    <row r="216" spans="2:22" x14ac:dyDescent="0.2">
      <c r="B216" s="7" t="s">
        <v>17</v>
      </c>
      <c r="C216" s="1" t="s">
        <v>21</v>
      </c>
      <c r="D216" s="3">
        <v>0.78194444444444444</v>
      </c>
      <c r="E216" t="s">
        <v>26</v>
      </c>
      <c r="F216" s="1">
        <v>8</v>
      </c>
      <c r="G216" s="1"/>
      <c r="H216" s="6" t="s">
        <v>29</v>
      </c>
      <c r="U216" s="2">
        <f>中央線快速_東京方面_平日[[#This Row],[発車時刻(Time)]]-$D215</f>
        <v>2.7777777777777679E-3</v>
      </c>
      <c r="V216" s="4">
        <f t="shared" si="3"/>
        <v>0.92832167832168166</v>
      </c>
    </row>
    <row r="217" spans="2:22" x14ac:dyDescent="0.2">
      <c r="B217" s="7" t="s">
        <v>17</v>
      </c>
      <c r="C217" s="1" t="s">
        <v>21</v>
      </c>
      <c r="D217" s="3">
        <v>0.78402777777777777</v>
      </c>
      <c r="E217" t="s">
        <v>26</v>
      </c>
      <c r="F217" s="1">
        <v>8</v>
      </c>
      <c r="G217" s="1"/>
      <c r="H217" s="6" t="s">
        <v>29</v>
      </c>
      <c r="U217" s="2">
        <f>中央線快速_東京方面_平日[[#This Row],[発車時刻(Time)]]-$D216</f>
        <v>2.0833333333333259E-3</v>
      </c>
      <c r="V217" s="4">
        <f t="shared" si="3"/>
        <v>1.2377622377622421</v>
      </c>
    </row>
    <row r="218" spans="2:22" x14ac:dyDescent="0.2">
      <c r="B218" s="7" t="s">
        <v>17</v>
      </c>
      <c r="C218" s="1" t="s">
        <v>22</v>
      </c>
      <c r="D218" s="3">
        <v>0.78541666666666676</v>
      </c>
      <c r="E218" t="s">
        <v>26</v>
      </c>
      <c r="F218" s="1">
        <v>8</v>
      </c>
      <c r="G218" s="1"/>
      <c r="H218" s="6" t="s">
        <v>29</v>
      </c>
      <c r="U218" s="2">
        <f>中央線快速_東京方面_平日[[#This Row],[発車時刻(Time)]]-$D217</f>
        <v>1.388888888888995E-3</v>
      </c>
      <c r="V218" s="4">
        <f t="shared" si="3"/>
        <v>1.8566433566432148</v>
      </c>
    </row>
    <row r="219" spans="2:22" x14ac:dyDescent="0.2">
      <c r="B219" s="7" t="s">
        <v>17</v>
      </c>
      <c r="C219" s="1" t="s">
        <v>21</v>
      </c>
      <c r="D219" s="3">
        <v>0.78680555555555554</v>
      </c>
      <c r="E219" t="s">
        <v>26</v>
      </c>
      <c r="F219" s="1">
        <v>8</v>
      </c>
      <c r="G219" s="1"/>
      <c r="H219" s="6" t="s">
        <v>29</v>
      </c>
      <c r="U219" s="2">
        <f>中央線快速_東京方面_平日[[#This Row],[発車時刻(Time)]]-$D218</f>
        <v>1.3888888888887729E-3</v>
      </c>
      <c r="V219" s="4">
        <f t="shared" si="3"/>
        <v>1.8566433566435119</v>
      </c>
    </row>
    <row r="220" spans="2:22" x14ac:dyDescent="0.2">
      <c r="B220" s="7" t="s">
        <v>17</v>
      </c>
      <c r="C220" s="1" t="s">
        <v>21</v>
      </c>
      <c r="D220" s="3">
        <v>0.7895833333333333</v>
      </c>
      <c r="E220" t="s">
        <v>26</v>
      </c>
      <c r="F220" s="1">
        <v>8</v>
      </c>
      <c r="G220" s="1"/>
      <c r="H220" s="6" t="s">
        <v>29</v>
      </c>
      <c r="U220" s="2">
        <f>中央線快速_東京方面_平日[[#This Row],[発車時刻(Time)]]-$D219</f>
        <v>2.7777777777777679E-3</v>
      </c>
      <c r="V220" s="4">
        <f t="shared" si="3"/>
        <v>0.92832167832168166</v>
      </c>
    </row>
    <row r="221" spans="2:22" x14ac:dyDescent="0.2">
      <c r="B221" s="7" t="s">
        <v>17</v>
      </c>
      <c r="C221" s="1" t="s">
        <v>21</v>
      </c>
      <c r="D221" s="3">
        <v>0.7909722222222223</v>
      </c>
      <c r="E221" t="s">
        <v>26</v>
      </c>
      <c r="F221" s="1">
        <v>8</v>
      </c>
      <c r="G221" s="1"/>
      <c r="H221" s="6" t="s">
        <v>29</v>
      </c>
      <c r="U221" s="2">
        <f>中央線快速_東京方面_平日[[#This Row],[発車時刻(Time)]]-$D220</f>
        <v>1.388888888888995E-3</v>
      </c>
      <c r="V221" s="4">
        <f t="shared" si="3"/>
        <v>1.8566433566432148</v>
      </c>
    </row>
    <row r="222" spans="2:22" x14ac:dyDescent="0.2">
      <c r="B222" s="7" t="s">
        <v>17</v>
      </c>
      <c r="C222" s="1" t="s">
        <v>21</v>
      </c>
      <c r="D222" s="3">
        <v>0.7944444444444444</v>
      </c>
      <c r="E222" t="s">
        <v>26</v>
      </c>
      <c r="F222" s="1">
        <v>8</v>
      </c>
      <c r="G222" s="1"/>
      <c r="H222" s="6" t="s">
        <v>29</v>
      </c>
      <c r="U222" s="2">
        <f>中央線快速_東京方面_平日[[#This Row],[発車時刻(Time)]]-$D221</f>
        <v>3.4722222222220989E-3</v>
      </c>
      <c r="V222" s="4">
        <f t="shared" si="3"/>
        <v>0.74265734265736905</v>
      </c>
    </row>
    <row r="223" spans="2:22" x14ac:dyDescent="0.2">
      <c r="B223" s="7" t="s">
        <v>17</v>
      </c>
      <c r="C223" s="1" t="s">
        <v>21</v>
      </c>
      <c r="D223" s="3">
        <v>0.79722222222222217</v>
      </c>
      <c r="E223" t="s">
        <v>26</v>
      </c>
      <c r="F223" s="1">
        <v>8</v>
      </c>
      <c r="G223" s="1"/>
      <c r="H223" s="6" t="s">
        <v>29</v>
      </c>
      <c r="U223" s="2">
        <f>中央線快速_東京方面_平日[[#This Row],[発車時刻(Time)]]-$D222</f>
        <v>2.7777777777777679E-3</v>
      </c>
      <c r="V223" s="4">
        <f t="shared" si="3"/>
        <v>0.92832167832168166</v>
      </c>
    </row>
    <row r="224" spans="2:22" x14ac:dyDescent="0.2">
      <c r="B224" s="7" t="s">
        <v>17</v>
      </c>
      <c r="C224" s="1" t="s">
        <v>21</v>
      </c>
      <c r="D224" s="3">
        <v>0.79999999999999993</v>
      </c>
      <c r="E224" t="s">
        <v>26</v>
      </c>
      <c r="F224" s="1">
        <v>8</v>
      </c>
      <c r="G224" s="1"/>
      <c r="H224" s="6" t="s">
        <v>29</v>
      </c>
      <c r="U224" s="2">
        <f>中央線快速_東京方面_平日[[#This Row],[発車時刻(Time)]]-$D223</f>
        <v>2.7777777777777679E-3</v>
      </c>
      <c r="V224" s="4">
        <f t="shared" si="3"/>
        <v>0.92832167832168166</v>
      </c>
    </row>
    <row r="225" spans="2:22" x14ac:dyDescent="0.2">
      <c r="B225" s="7" t="s">
        <v>17</v>
      </c>
      <c r="C225" s="1" t="s">
        <v>25</v>
      </c>
      <c r="D225" s="3">
        <v>0.80208333333333337</v>
      </c>
      <c r="E225" t="s">
        <v>26</v>
      </c>
      <c r="F225" s="1">
        <v>8</v>
      </c>
      <c r="G225" s="1"/>
      <c r="H225" s="6" t="s">
        <v>29</v>
      </c>
      <c r="U225" s="2">
        <f>中央線快速_東京方面_平日[[#This Row],[発車時刻(Time)]]-$D224</f>
        <v>2.083333333333437E-3</v>
      </c>
      <c r="V225" s="4">
        <f t="shared" si="3"/>
        <v>1.2377622377621762</v>
      </c>
    </row>
    <row r="226" spans="2:22" x14ac:dyDescent="0.2">
      <c r="B226" s="7" t="s">
        <v>17</v>
      </c>
      <c r="C226" s="1" t="s">
        <v>21</v>
      </c>
      <c r="D226" s="3">
        <v>0.8041666666666667</v>
      </c>
      <c r="E226" t="s">
        <v>26</v>
      </c>
      <c r="F226" s="1">
        <v>8</v>
      </c>
      <c r="G226" s="1"/>
      <c r="H226" s="6" t="s">
        <v>29</v>
      </c>
      <c r="U226" s="2">
        <f>中央線快速_東京方面_平日[[#This Row],[発車時刻(Time)]]-$D225</f>
        <v>2.0833333333333259E-3</v>
      </c>
      <c r="V226" s="4">
        <f t="shared" si="3"/>
        <v>1.2377622377622421</v>
      </c>
    </row>
    <row r="227" spans="2:22" x14ac:dyDescent="0.2">
      <c r="B227" s="7" t="s">
        <v>17</v>
      </c>
      <c r="C227" s="1" t="s">
        <v>21</v>
      </c>
      <c r="D227" s="3">
        <v>0.80555555555555547</v>
      </c>
      <c r="E227" t="s">
        <v>26</v>
      </c>
      <c r="F227" s="1">
        <v>8</v>
      </c>
      <c r="G227" s="1"/>
      <c r="H227" s="6" t="s">
        <v>29</v>
      </c>
      <c r="U227" s="2">
        <f>中央線快速_東京方面_平日[[#This Row],[発車時刻(Time)]]-$D226</f>
        <v>1.3888888888887729E-3</v>
      </c>
      <c r="V227" s="4">
        <f t="shared" si="3"/>
        <v>1.8566433566435119</v>
      </c>
    </row>
    <row r="228" spans="2:22" x14ac:dyDescent="0.2">
      <c r="B228" s="7" t="s">
        <v>17</v>
      </c>
      <c r="C228" s="1" t="s">
        <v>21</v>
      </c>
      <c r="D228" s="3">
        <v>0.80833333333333324</v>
      </c>
      <c r="E228" t="s">
        <v>26</v>
      </c>
      <c r="F228" s="1">
        <v>8</v>
      </c>
      <c r="G228" s="1"/>
      <c r="H228" s="6" t="s">
        <v>29</v>
      </c>
      <c r="U228" s="2">
        <f>中央線快速_東京方面_平日[[#This Row],[発車時刻(Time)]]-$D227</f>
        <v>2.7777777777777679E-3</v>
      </c>
      <c r="V228" s="4">
        <f t="shared" si="3"/>
        <v>0.92832167832168166</v>
      </c>
    </row>
    <row r="229" spans="2:22" x14ac:dyDescent="0.2">
      <c r="B229" s="7" t="s">
        <v>17</v>
      </c>
      <c r="C229" s="1" t="s">
        <v>21</v>
      </c>
      <c r="D229" s="3">
        <v>0.81041666666666667</v>
      </c>
      <c r="E229" t="s">
        <v>26</v>
      </c>
      <c r="F229" s="1">
        <v>8</v>
      </c>
      <c r="G229" s="1"/>
      <c r="H229" s="6" t="s">
        <v>29</v>
      </c>
      <c r="U229" s="2">
        <f>中央線快速_東京方面_平日[[#This Row],[発車時刻(Time)]]-$D228</f>
        <v>2.083333333333437E-3</v>
      </c>
      <c r="V229" s="4">
        <f t="shared" si="3"/>
        <v>1.2377622377621762</v>
      </c>
    </row>
    <row r="230" spans="2:22" x14ac:dyDescent="0.2">
      <c r="B230" s="7" t="s">
        <v>17</v>
      </c>
      <c r="C230" s="1" t="s">
        <v>21</v>
      </c>
      <c r="D230" s="3">
        <v>0.81319444444444444</v>
      </c>
      <c r="E230" t="s">
        <v>26</v>
      </c>
      <c r="F230" s="1">
        <v>8</v>
      </c>
      <c r="G230" s="1"/>
      <c r="H230" s="6" t="s">
        <v>29</v>
      </c>
      <c r="U230" s="2">
        <f>中央線快速_東京方面_平日[[#This Row],[発車時刻(Time)]]-$D229</f>
        <v>2.7777777777777679E-3</v>
      </c>
      <c r="V230" s="4">
        <f t="shared" si="3"/>
        <v>0.92832167832168166</v>
      </c>
    </row>
    <row r="231" spans="2:22" x14ac:dyDescent="0.2">
      <c r="B231" s="7" t="s">
        <v>17</v>
      </c>
      <c r="C231" s="1" t="s">
        <v>21</v>
      </c>
      <c r="D231" s="3">
        <v>0.81597222222222221</v>
      </c>
      <c r="E231" t="s">
        <v>26</v>
      </c>
      <c r="F231" s="1">
        <v>8</v>
      </c>
      <c r="G231" s="1"/>
      <c r="H231" s="6" t="s">
        <v>29</v>
      </c>
      <c r="U231" s="2">
        <f>中央線快速_東京方面_平日[[#This Row],[発車時刻(Time)]]-$D230</f>
        <v>2.7777777777777679E-3</v>
      </c>
      <c r="V231" s="4">
        <f t="shared" si="3"/>
        <v>0.92832167832168166</v>
      </c>
    </row>
    <row r="232" spans="2:22" x14ac:dyDescent="0.2">
      <c r="B232" s="7" t="s">
        <v>17</v>
      </c>
      <c r="C232" s="1" t="s">
        <v>21</v>
      </c>
      <c r="D232" s="3">
        <v>0.81944444444444453</v>
      </c>
      <c r="E232" t="s">
        <v>26</v>
      </c>
      <c r="F232" s="1">
        <v>8</v>
      </c>
      <c r="G232" s="1"/>
      <c r="H232" s="6" t="s">
        <v>29</v>
      </c>
      <c r="U232" s="2">
        <f>中央線快速_東京方面_平日[[#This Row],[発車時刻(Time)]]-$D231</f>
        <v>3.4722222222223209E-3</v>
      </c>
      <c r="V232" s="4">
        <f t="shared" si="3"/>
        <v>0.74265734265732153</v>
      </c>
    </row>
    <row r="233" spans="2:22" x14ac:dyDescent="0.2">
      <c r="B233" s="7" t="s">
        <v>17</v>
      </c>
      <c r="C233" s="1" t="s">
        <v>21</v>
      </c>
      <c r="D233" s="3">
        <v>0.82291666666666663</v>
      </c>
      <c r="E233" t="s">
        <v>26</v>
      </c>
      <c r="F233" s="1">
        <v>8</v>
      </c>
      <c r="G233" s="1"/>
      <c r="H233" s="6" t="s">
        <v>29</v>
      </c>
      <c r="U233" s="2">
        <f>中央線快速_東京方面_平日[[#This Row],[発車時刻(Time)]]-$D232</f>
        <v>3.4722222222220989E-3</v>
      </c>
      <c r="V233" s="4">
        <f t="shared" si="3"/>
        <v>0.74265734265736905</v>
      </c>
    </row>
    <row r="234" spans="2:22" x14ac:dyDescent="0.2">
      <c r="B234" s="7" t="s">
        <v>17</v>
      </c>
      <c r="C234" s="1" t="s">
        <v>21</v>
      </c>
      <c r="D234" s="3">
        <v>0.82500000000000007</v>
      </c>
      <c r="E234" t="s">
        <v>26</v>
      </c>
      <c r="F234" s="1">
        <v>8</v>
      </c>
      <c r="G234" s="1"/>
      <c r="H234" s="6" t="s">
        <v>29</v>
      </c>
      <c r="U234" s="2">
        <f>中央線快速_東京方面_平日[[#This Row],[発車時刻(Time)]]-$D233</f>
        <v>2.083333333333437E-3</v>
      </c>
      <c r="V234" s="4">
        <f t="shared" si="3"/>
        <v>1.2377622377621762</v>
      </c>
    </row>
    <row r="235" spans="2:22" x14ac:dyDescent="0.2">
      <c r="B235" s="7" t="s">
        <v>17</v>
      </c>
      <c r="C235" s="1" t="s">
        <v>22</v>
      </c>
      <c r="D235" s="3">
        <v>0.82708333333333339</v>
      </c>
      <c r="E235" t="s">
        <v>26</v>
      </c>
      <c r="F235" s="1">
        <v>8</v>
      </c>
      <c r="G235" s="1"/>
      <c r="H235" s="6" t="s">
        <v>29</v>
      </c>
      <c r="U235" s="2">
        <f>中央線快速_東京方面_平日[[#This Row],[発車時刻(Time)]]-$D234</f>
        <v>2.0833333333333259E-3</v>
      </c>
      <c r="V235" s="4">
        <f t="shared" si="3"/>
        <v>1.2377622377622421</v>
      </c>
    </row>
    <row r="236" spans="2:22" x14ac:dyDescent="0.2">
      <c r="B236" s="7" t="s">
        <v>17</v>
      </c>
      <c r="C236" s="1" t="s">
        <v>21</v>
      </c>
      <c r="D236" s="3">
        <v>0.82847222222222217</v>
      </c>
      <c r="E236" t="s">
        <v>26</v>
      </c>
      <c r="F236" s="1">
        <v>8</v>
      </c>
      <c r="G236" s="1"/>
      <c r="H236" s="6" t="s">
        <v>29</v>
      </c>
      <c r="U236" s="2">
        <f>中央線快速_東京方面_平日[[#This Row],[発車時刻(Time)]]-$D235</f>
        <v>1.3888888888887729E-3</v>
      </c>
      <c r="V236" s="4">
        <f t="shared" si="3"/>
        <v>1.8566433566435119</v>
      </c>
    </row>
    <row r="237" spans="2:22" x14ac:dyDescent="0.2">
      <c r="B237" s="7" t="s">
        <v>17</v>
      </c>
      <c r="C237" s="1" t="s">
        <v>21</v>
      </c>
      <c r="D237" s="3">
        <v>0.83124999999999993</v>
      </c>
      <c r="E237" t="s">
        <v>26</v>
      </c>
      <c r="F237" s="1">
        <v>8</v>
      </c>
      <c r="G237" s="1"/>
      <c r="H237" s="6" t="s">
        <v>29</v>
      </c>
      <c r="U237" s="2">
        <f>中央線快速_東京方面_平日[[#This Row],[発車時刻(Time)]]-$D236</f>
        <v>2.7777777777777679E-3</v>
      </c>
      <c r="V237" s="4">
        <f t="shared" si="3"/>
        <v>0.92832167832168166</v>
      </c>
    </row>
    <row r="238" spans="2:22" x14ac:dyDescent="0.2">
      <c r="B238" s="7" t="s">
        <v>17</v>
      </c>
      <c r="C238" s="1" t="s">
        <v>21</v>
      </c>
      <c r="D238" s="3">
        <v>0.83333333333333337</v>
      </c>
      <c r="E238" t="s">
        <v>26</v>
      </c>
      <c r="F238" s="1">
        <v>8</v>
      </c>
      <c r="G238" s="1"/>
      <c r="H238" s="6" t="s">
        <v>29</v>
      </c>
      <c r="U238" s="2">
        <f>中央線快速_東京方面_平日[[#This Row],[発車時刻(Time)]]-$D237</f>
        <v>2.083333333333437E-3</v>
      </c>
      <c r="V238" s="4">
        <f t="shared" si="3"/>
        <v>1.2377622377621762</v>
      </c>
    </row>
    <row r="239" spans="2:22" x14ac:dyDescent="0.2">
      <c r="B239" s="7" t="s">
        <v>17</v>
      </c>
      <c r="C239" s="1" t="s">
        <v>21</v>
      </c>
      <c r="D239" s="3">
        <v>0.8354166666666667</v>
      </c>
      <c r="E239" t="s">
        <v>26</v>
      </c>
      <c r="F239" s="1">
        <v>8</v>
      </c>
      <c r="G239" s="1"/>
      <c r="H239" s="6" t="s">
        <v>29</v>
      </c>
      <c r="U239" s="2">
        <f>中央線快速_東京方面_平日[[#This Row],[発車時刻(Time)]]-$D238</f>
        <v>2.0833333333333259E-3</v>
      </c>
      <c r="V239" s="4">
        <f t="shared" si="3"/>
        <v>1.2377622377622421</v>
      </c>
    </row>
    <row r="240" spans="2:22" x14ac:dyDescent="0.2">
      <c r="B240" s="7" t="s">
        <v>17</v>
      </c>
      <c r="C240" s="1" t="s">
        <v>21</v>
      </c>
      <c r="D240" s="3">
        <v>0.83750000000000002</v>
      </c>
      <c r="E240" t="s">
        <v>26</v>
      </c>
      <c r="F240" s="1">
        <v>8</v>
      </c>
      <c r="G240" s="1"/>
      <c r="H240" s="6" t="s">
        <v>29</v>
      </c>
      <c r="U240" s="2">
        <f>中央線快速_東京方面_平日[[#This Row],[発車時刻(Time)]]-$D239</f>
        <v>2.0833333333333259E-3</v>
      </c>
      <c r="V240" s="4">
        <f t="shared" si="3"/>
        <v>1.2377622377622421</v>
      </c>
    </row>
    <row r="241" spans="2:22" x14ac:dyDescent="0.2">
      <c r="B241" s="8" t="s">
        <v>18</v>
      </c>
      <c r="C241" s="1" t="s">
        <v>24</v>
      </c>
      <c r="D241" s="3">
        <v>0.83958333333333324</v>
      </c>
      <c r="E241" t="s">
        <v>27</v>
      </c>
      <c r="F241" s="1">
        <v>7</v>
      </c>
      <c r="G241" s="1"/>
      <c r="H241" s="6" t="s">
        <v>31</v>
      </c>
      <c r="U241" s="2">
        <f>中央線快速_東京方面_平日[[#This Row],[発車時刻(Time)]]-$D240</f>
        <v>2.0833333333332149E-3</v>
      </c>
      <c r="V241" s="4">
        <f t="shared" si="3"/>
        <v>1.2377622377623081</v>
      </c>
    </row>
    <row r="242" spans="2:22" x14ac:dyDescent="0.2">
      <c r="B242" s="7" t="s">
        <v>17</v>
      </c>
      <c r="C242" s="1" t="s">
        <v>21</v>
      </c>
      <c r="D242" s="3">
        <v>0.84097222222222223</v>
      </c>
      <c r="E242" t="s">
        <v>26</v>
      </c>
      <c r="F242" s="1">
        <v>8</v>
      </c>
      <c r="G242" s="1"/>
      <c r="H242" s="6" t="s">
        <v>29</v>
      </c>
      <c r="U242" s="2">
        <f>中央線快速_東京方面_平日[[#This Row],[発車時刻(Time)]]-$D241</f>
        <v>1.388888888888995E-3</v>
      </c>
      <c r="V242" s="4">
        <f t="shared" si="3"/>
        <v>1.8566433566432148</v>
      </c>
    </row>
    <row r="243" spans="2:22" x14ac:dyDescent="0.2">
      <c r="B243" s="7" t="s">
        <v>17</v>
      </c>
      <c r="C243" s="1" t="s">
        <v>21</v>
      </c>
      <c r="D243" s="3">
        <v>0.84375</v>
      </c>
      <c r="E243" t="s">
        <v>26</v>
      </c>
      <c r="F243" s="1">
        <v>8</v>
      </c>
      <c r="G243" s="1"/>
      <c r="H243" s="6" t="s">
        <v>29</v>
      </c>
      <c r="U243" s="2">
        <f>中央線快速_東京方面_平日[[#This Row],[発車時刻(Time)]]-$D242</f>
        <v>2.7777777777777679E-3</v>
      </c>
      <c r="V243" s="4">
        <f t="shared" si="3"/>
        <v>0.92832167832168166</v>
      </c>
    </row>
    <row r="244" spans="2:22" x14ac:dyDescent="0.2">
      <c r="B244" s="7" t="s">
        <v>17</v>
      </c>
      <c r="C244" s="1" t="s">
        <v>21</v>
      </c>
      <c r="D244" s="3">
        <v>0.84513888888888899</v>
      </c>
      <c r="E244" t="s">
        <v>26</v>
      </c>
      <c r="F244" s="1">
        <v>8</v>
      </c>
      <c r="G244" s="1"/>
      <c r="H244" s="6" t="s">
        <v>29</v>
      </c>
      <c r="U244" s="2">
        <f>中央線快速_東京方面_平日[[#This Row],[発車時刻(Time)]]-$D243</f>
        <v>1.388888888888995E-3</v>
      </c>
      <c r="V244" s="4">
        <f t="shared" si="3"/>
        <v>1.8566433566432148</v>
      </c>
    </row>
    <row r="245" spans="2:22" x14ac:dyDescent="0.2">
      <c r="B245" s="7" t="s">
        <v>17</v>
      </c>
      <c r="C245" s="1" t="s">
        <v>22</v>
      </c>
      <c r="D245" s="3">
        <v>0.84652777777777777</v>
      </c>
      <c r="E245" t="s">
        <v>26</v>
      </c>
      <c r="F245" s="1">
        <v>8</v>
      </c>
      <c r="G245" s="1"/>
      <c r="H245" s="6" t="s">
        <v>29</v>
      </c>
      <c r="U245" s="2">
        <f>中央線快速_東京方面_平日[[#This Row],[発車時刻(Time)]]-$D244</f>
        <v>1.3888888888887729E-3</v>
      </c>
      <c r="V245" s="4">
        <f t="shared" si="3"/>
        <v>1.8566433566435119</v>
      </c>
    </row>
    <row r="246" spans="2:22" x14ac:dyDescent="0.2">
      <c r="B246" s="7" t="s">
        <v>17</v>
      </c>
      <c r="C246" s="1" t="s">
        <v>21</v>
      </c>
      <c r="D246" s="3">
        <v>0.85069444444444453</v>
      </c>
      <c r="E246" t="s">
        <v>26</v>
      </c>
      <c r="F246" s="1">
        <v>8</v>
      </c>
      <c r="G246" s="1"/>
      <c r="H246" s="6" t="s">
        <v>29</v>
      </c>
      <c r="U246" s="2">
        <f>中央線快速_東京方面_平日[[#This Row],[発車時刻(Time)]]-$D245</f>
        <v>4.1666666666667629E-3</v>
      </c>
      <c r="V246" s="4">
        <f t="shared" si="3"/>
        <v>0.61888111888110464</v>
      </c>
    </row>
    <row r="247" spans="2:22" x14ac:dyDescent="0.2">
      <c r="B247" s="7" t="s">
        <v>17</v>
      </c>
      <c r="C247" s="1" t="s">
        <v>21</v>
      </c>
      <c r="D247" s="3">
        <v>0.8534722222222223</v>
      </c>
      <c r="E247" t="s">
        <v>26</v>
      </c>
      <c r="F247" s="1">
        <v>8</v>
      </c>
      <c r="G247" s="1"/>
      <c r="H247" s="6" t="s">
        <v>29</v>
      </c>
      <c r="U247" s="2">
        <f>中央線快速_東京方面_平日[[#This Row],[発車時刻(Time)]]-$D246</f>
        <v>2.7777777777777679E-3</v>
      </c>
      <c r="V247" s="4">
        <f t="shared" si="3"/>
        <v>0.92832167832168166</v>
      </c>
    </row>
    <row r="248" spans="2:22" x14ac:dyDescent="0.2">
      <c r="B248" s="7" t="s">
        <v>17</v>
      </c>
      <c r="C248" s="1" t="s">
        <v>21</v>
      </c>
      <c r="D248" s="3">
        <v>0.85625000000000007</v>
      </c>
      <c r="E248" t="s">
        <v>26</v>
      </c>
      <c r="F248" s="1">
        <v>8</v>
      </c>
      <c r="G248" s="1"/>
      <c r="H248" s="6" t="s">
        <v>29</v>
      </c>
      <c r="U248" s="2">
        <f>中央線快速_東京方面_平日[[#This Row],[発車時刻(Time)]]-$D247</f>
        <v>2.7777777777777679E-3</v>
      </c>
      <c r="V248" s="4">
        <f t="shared" si="3"/>
        <v>0.92832167832168166</v>
      </c>
    </row>
    <row r="249" spans="2:22" x14ac:dyDescent="0.2">
      <c r="B249" s="7" t="s">
        <v>17</v>
      </c>
      <c r="C249" s="1" t="s">
        <v>21</v>
      </c>
      <c r="D249" s="3">
        <v>0.85763888888888884</v>
      </c>
      <c r="E249" t="s">
        <v>26</v>
      </c>
      <c r="F249" s="1">
        <v>8</v>
      </c>
      <c r="G249" s="1"/>
      <c r="H249" s="6" t="s">
        <v>29</v>
      </c>
      <c r="U249" s="2">
        <f>中央線快速_東京方面_平日[[#This Row],[発車時刻(Time)]]-$D248</f>
        <v>1.3888888888887729E-3</v>
      </c>
      <c r="V249" s="4">
        <f t="shared" si="3"/>
        <v>1.8566433566435119</v>
      </c>
    </row>
    <row r="250" spans="2:22" x14ac:dyDescent="0.2">
      <c r="B250" s="7" t="s">
        <v>17</v>
      </c>
      <c r="C250" s="1" t="s">
        <v>21</v>
      </c>
      <c r="D250" s="3">
        <v>0.86249999999999993</v>
      </c>
      <c r="E250" t="s">
        <v>26</v>
      </c>
      <c r="F250" s="1">
        <v>8</v>
      </c>
      <c r="G250" s="1"/>
      <c r="H250" s="6" t="s">
        <v>29</v>
      </c>
      <c r="U250" s="2">
        <f>中央線快速_東京方面_平日[[#This Row],[発車時刻(Time)]]-$D249</f>
        <v>4.8611111111110938E-3</v>
      </c>
      <c r="V250" s="4">
        <f t="shared" si="3"/>
        <v>0.53046953046953238</v>
      </c>
    </row>
    <row r="251" spans="2:22" x14ac:dyDescent="0.2">
      <c r="B251" s="7" t="s">
        <v>17</v>
      </c>
      <c r="C251" s="1" t="s">
        <v>21</v>
      </c>
      <c r="D251" s="3">
        <v>0.8652777777777777</v>
      </c>
      <c r="E251" t="s">
        <v>26</v>
      </c>
      <c r="F251" s="1">
        <v>8</v>
      </c>
      <c r="G251" s="1"/>
      <c r="H251" s="6" t="s">
        <v>29</v>
      </c>
      <c r="U251" s="2">
        <f>中央線快速_東京方面_平日[[#This Row],[発車時刻(Time)]]-$D250</f>
        <v>2.7777777777777679E-3</v>
      </c>
      <c r="V251" s="4">
        <f t="shared" si="3"/>
        <v>0.92832167832168166</v>
      </c>
    </row>
    <row r="252" spans="2:22" x14ac:dyDescent="0.2">
      <c r="B252" s="7" t="s">
        <v>17</v>
      </c>
      <c r="C252" s="1" t="s">
        <v>22</v>
      </c>
      <c r="D252" s="3">
        <v>0.86875000000000002</v>
      </c>
      <c r="E252" t="s">
        <v>26</v>
      </c>
      <c r="F252" s="1">
        <v>8</v>
      </c>
      <c r="G252" s="1"/>
      <c r="H252" s="6" t="s">
        <v>29</v>
      </c>
      <c r="U252" s="2">
        <f>中央線快速_東京方面_平日[[#This Row],[発車時刻(Time)]]-$D251</f>
        <v>3.4722222222223209E-3</v>
      </c>
      <c r="V252" s="4">
        <f t="shared" si="3"/>
        <v>0.74265734265732153</v>
      </c>
    </row>
    <row r="253" spans="2:22" x14ac:dyDescent="0.2">
      <c r="B253" s="7" t="s">
        <v>17</v>
      </c>
      <c r="C253" s="1" t="s">
        <v>21</v>
      </c>
      <c r="D253" s="3">
        <v>0.87083333333333324</v>
      </c>
      <c r="E253" t="s">
        <v>26</v>
      </c>
      <c r="F253" s="1">
        <v>8</v>
      </c>
      <c r="G253" s="1"/>
      <c r="H253" s="6" t="s">
        <v>29</v>
      </c>
      <c r="U253" s="2">
        <f>中央線快速_東京方面_平日[[#This Row],[発車時刻(Time)]]-$D252</f>
        <v>2.0833333333332149E-3</v>
      </c>
      <c r="V253" s="4">
        <f t="shared" si="3"/>
        <v>1.2377622377623081</v>
      </c>
    </row>
    <row r="254" spans="2:22" x14ac:dyDescent="0.2">
      <c r="B254" s="7" t="s">
        <v>17</v>
      </c>
      <c r="C254" s="1" t="s">
        <v>21</v>
      </c>
      <c r="D254" s="3">
        <v>0.87361111111111101</v>
      </c>
      <c r="E254" t="s">
        <v>26</v>
      </c>
      <c r="F254" s="1">
        <v>8</v>
      </c>
      <c r="G254" s="1"/>
      <c r="H254" s="6" t="s">
        <v>29</v>
      </c>
      <c r="U254" s="2">
        <f>中央線快速_東京方面_平日[[#This Row],[発車時刻(Time)]]-$D253</f>
        <v>2.7777777777777679E-3</v>
      </c>
      <c r="V254" s="4">
        <f t="shared" si="3"/>
        <v>0.92832167832168166</v>
      </c>
    </row>
    <row r="255" spans="2:22" x14ac:dyDescent="0.2">
      <c r="B255" s="7" t="s">
        <v>17</v>
      </c>
      <c r="C255" s="1" t="s">
        <v>21</v>
      </c>
      <c r="D255" s="3">
        <v>0.87569444444444444</v>
      </c>
      <c r="E255" t="s">
        <v>26</v>
      </c>
      <c r="F255" s="1">
        <v>8</v>
      </c>
      <c r="G255" s="1"/>
      <c r="H255" s="6" t="s">
        <v>29</v>
      </c>
      <c r="U255" s="2">
        <f>中央線快速_東京方面_平日[[#This Row],[発車時刻(Time)]]-$D254</f>
        <v>2.083333333333437E-3</v>
      </c>
      <c r="V255" s="4">
        <f t="shared" si="3"/>
        <v>1.2377622377621762</v>
      </c>
    </row>
    <row r="256" spans="2:22" x14ac:dyDescent="0.2">
      <c r="B256" s="7" t="s">
        <v>17</v>
      </c>
      <c r="C256" s="1" t="s">
        <v>21</v>
      </c>
      <c r="D256" s="3">
        <v>0.87847222222222221</v>
      </c>
      <c r="E256" t="s">
        <v>26</v>
      </c>
      <c r="F256" s="1">
        <v>8</v>
      </c>
      <c r="G256" s="1"/>
      <c r="H256" s="6" t="s">
        <v>29</v>
      </c>
      <c r="U256" s="2">
        <f>中央線快速_東京方面_平日[[#This Row],[発車時刻(Time)]]-$D255</f>
        <v>2.7777777777777679E-3</v>
      </c>
      <c r="V256" s="4">
        <f t="shared" si="3"/>
        <v>0.92832167832168166</v>
      </c>
    </row>
    <row r="257" spans="2:22" x14ac:dyDescent="0.2">
      <c r="B257" s="8" t="s">
        <v>18</v>
      </c>
      <c r="C257" s="1" t="s">
        <v>24</v>
      </c>
      <c r="D257" s="3">
        <v>0.87986111111111109</v>
      </c>
      <c r="E257" t="s">
        <v>27</v>
      </c>
      <c r="F257" s="1">
        <v>7</v>
      </c>
      <c r="G257" s="1" t="s">
        <v>28</v>
      </c>
      <c r="H257" s="6" t="s">
        <v>32</v>
      </c>
      <c r="U257" s="2">
        <f>中央線快速_東京方面_平日[[#This Row],[発車時刻(Time)]]-$D256</f>
        <v>1.388888888888884E-3</v>
      </c>
      <c r="V257" s="4">
        <f t="shared" si="3"/>
        <v>1.8566433566433633</v>
      </c>
    </row>
    <row r="258" spans="2:22" x14ac:dyDescent="0.2">
      <c r="B258" s="7" t="s">
        <v>17</v>
      </c>
      <c r="C258" s="1" t="s">
        <v>21</v>
      </c>
      <c r="D258" s="3">
        <v>0.8833333333333333</v>
      </c>
      <c r="E258" t="s">
        <v>26</v>
      </c>
      <c r="F258" s="1">
        <v>8</v>
      </c>
      <c r="G258" s="1"/>
      <c r="H258" s="6" t="s">
        <v>29</v>
      </c>
      <c r="U258" s="2">
        <f>中央線快速_東京方面_平日[[#This Row],[発車時刻(Time)]]-$D257</f>
        <v>3.4722222222222099E-3</v>
      </c>
      <c r="V258" s="4">
        <f t="shared" si="3"/>
        <v>0.74265734265734529</v>
      </c>
    </row>
    <row r="259" spans="2:22" x14ac:dyDescent="0.2">
      <c r="B259" s="7" t="s">
        <v>17</v>
      </c>
      <c r="C259" s="1" t="s">
        <v>21</v>
      </c>
      <c r="D259" s="3">
        <v>0.88611111111111107</v>
      </c>
      <c r="E259" t="s">
        <v>26</v>
      </c>
      <c r="F259" s="1">
        <v>8</v>
      </c>
      <c r="G259" s="1"/>
      <c r="H259" s="6" t="s">
        <v>29</v>
      </c>
      <c r="U259" s="2">
        <f>中央線快速_東京方面_平日[[#This Row],[発車時刻(Time)]]-$D258</f>
        <v>2.7777777777777679E-3</v>
      </c>
      <c r="V259" s="4">
        <f t="shared" si="3"/>
        <v>0.92832167832168166</v>
      </c>
    </row>
    <row r="260" spans="2:22" x14ac:dyDescent="0.2">
      <c r="B260" s="7" t="s">
        <v>17</v>
      </c>
      <c r="C260" s="1" t="s">
        <v>21</v>
      </c>
      <c r="D260" s="3">
        <v>0.88750000000000007</v>
      </c>
      <c r="E260" t="s">
        <v>26</v>
      </c>
      <c r="F260" s="1">
        <v>8</v>
      </c>
      <c r="G260" s="1"/>
      <c r="H260" s="6" t="s">
        <v>29</v>
      </c>
      <c r="U260" s="2">
        <f>中央線快速_東京方面_平日[[#This Row],[発車時刻(Time)]]-$D259</f>
        <v>1.388888888888995E-3</v>
      </c>
      <c r="V260" s="4">
        <f t="shared" ref="V260:V289" si="4">IFERROR((1/(U260/$K$14)), 0)</f>
        <v>1.8566433566432148</v>
      </c>
    </row>
    <row r="261" spans="2:22" x14ac:dyDescent="0.2">
      <c r="B261" s="7" t="s">
        <v>17</v>
      </c>
      <c r="C261" s="1" t="s">
        <v>21</v>
      </c>
      <c r="D261" s="3">
        <v>0.89097222222222217</v>
      </c>
      <c r="E261" t="s">
        <v>26</v>
      </c>
      <c r="F261" s="1">
        <v>8</v>
      </c>
      <c r="G261" s="1"/>
      <c r="H261" s="6" t="s">
        <v>29</v>
      </c>
      <c r="U261" s="2">
        <f>中央線快速_東京方面_平日[[#This Row],[発車時刻(Time)]]-$D260</f>
        <v>3.4722222222220989E-3</v>
      </c>
      <c r="V261" s="4">
        <f t="shared" si="4"/>
        <v>0.74265734265736905</v>
      </c>
    </row>
    <row r="262" spans="2:22" x14ac:dyDescent="0.2">
      <c r="B262" s="7" t="s">
        <v>17</v>
      </c>
      <c r="C262" s="1" t="s">
        <v>21</v>
      </c>
      <c r="D262" s="3">
        <v>0.89236111111111116</v>
      </c>
      <c r="E262" t="s">
        <v>26</v>
      </c>
      <c r="F262" s="1">
        <v>8</v>
      </c>
      <c r="G262" s="1"/>
      <c r="H262" s="6" t="s">
        <v>29</v>
      </c>
      <c r="U262" s="2">
        <f>中央線快速_東京方面_平日[[#This Row],[発車時刻(Time)]]-$D261</f>
        <v>1.388888888888995E-3</v>
      </c>
      <c r="V262" s="4">
        <f t="shared" si="4"/>
        <v>1.8566433566432148</v>
      </c>
    </row>
    <row r="263" spans="2:22" x14ac:dyDescent="0.2">
      <c r="B263" s="7" t="s">
        <v>17</v>
      </c>
      <c r="C263" s="1" t="s">
        <v>22</v>
      </c>
      <c r="D263" s="3">
        <v>0.89513888888888893</v>
      </c>
      <c r="E263" t="s">
        <v>26</v>
      </c>
      <c r="F263" s="1">
        <v>8</v>
      </c>
      <c r="G263" s="1"/>
      <c r="H263" s="6" t="s">
        <v>29</v>
      </c>
      <c r="U263" s="2">
        <f>中央線快速_東京方面_平日[[#This Row],[発車時刻(Time)]]-$D262</f>
        <v>2.7777777777777679E-3</v>
      </c>
      <c r="V263" s="4">
        <f t="shared" si="4"/>
        <v>0.92832167832168166</v>
      </c>
    </row>
    <row r="264" spans="2:22" x14ac:dyDescent="0.2">
      <c r="B264" s="7" t="s">
        <v>17</v>
      </c>
      <c r="C264" s="1" t="s">
        <v>21</v>
      </c>
      <c r="D264" s="3">
        <v>0.8979166666666667</v>
      </c>
      <c r="E264" t="s">
        <v>26</v>
      </c>
      <c r="F264" s="1">
        <v>8</v>
      </c>
      <c r="G264" s="1"/>
      <c r="H264" s="6" t="s">
        <v>29</v>
      </c>
      <c r="U264" s="2">
        <f>中央線快速_東京方面_平日[[#This Row],[発車時刻(Time)]]-$D263</f>
        <v>2.7777777777777679E-3</v>
      </c>
      <c r="V264" s="4">
        <f t="shared" si="4"/>
        <v>0.92832167832168166</v>
      </c>
    </row>
    <row r="265" spans="2:22" x14ac:dyDescent="0.2">
      <c r="B265" s="7" t="s">
        <v>17</v>
      </c>
      <c r="C265" s="1" t="s">
        <v>21</v>
      </c>
      <c r="D265" s="3">
        <v>0.9</v>
      </c>
      <c r="E265" t="s">
        <v>26</v>
      </c>
      <c r="F265" s="1">
        <v>8</v>
      </c>
      <c r="G265" s="1"/>
      <c r="H265" s="6" t="s">
        <v>29</v>
      </c>
      <c r="U265" s="2">
        <f>中央線快速_東京方面_平日[[#This Row],[発車時刻(Time)]]-$D264</f>
        <v>2.0833333333333259E-3</v>
      </c>
      <c r="V265" s="4">
        <f t="shared" si="4"/>
        <v>1.2377622377622421</v>
      </c>
    </row>
    <row r="266" spans="2:22" x14ac:dyDescent="0.2">
      <c r="B266" s="7" t="s">
        <v>17</v>
      </c>
      <c r="C266" s="1" t="s">
        <v>21</v>
      </c>
      <c r="D266" s="3">
        <v>0.90555555555555556</v>
      </c>
      <c r="E266" t="s">
        <v>26</v>
      </c>
      <c r="F266" s="1">
        <v>8</v>
      </c>
      <c r="G266" s="1"/>
      <c r="H266" s="6" t="s">
        <v>29</v>
      </c>
      <c r="U266" s="2">
        <f>中央線快速_東京方面_平日[[#This Row],[発車時刻(Time)]]-$D265</f>
        <v>5.5555555555555358E-3</v>
      </c>
      <c r="V266" s="4">
        <f t="shared" si="4"/>
        <v>0.46416083916084083</v>
      </c>
    </row>
    <row r="267" spans="2:22" x14ac:dyDescent="0.2">
      <c r="B267" s="7" t="s">
        <v>17</v>
      </c>
      <c r="C267" s="1" t="s">
        <v>21</v>
      </c>
      <c r="D267" s="3">
        <v>0.90763888888888899</v>
      </c>
      <c r="E267" t="s">
        <v>26</v>
      </c>
      <c r="F267" s="1">
        <v>8</v>
      </c>
      <c r="G267" s="1"/>
      <c r="H267" s="6" t="s">
        <v>29</v>
      </c>
      <c r="U267" s="2">
        <f>中央線快速_東京方面_平日[[#This Row],[発車時刻(Time)]]-$D266</f>
        <v>2.083333333333437E-3</v>
      </c>
      <c r="V267" s="4">
        <f t="shared" si="4"/>
        <v>1.2377622377621762</v>
      </c>
    </row>
    <row r="268" spans="2:22" x14ac:dyDescent="0.2">
      <c r="B268" s="7" t="s">
        <v>17</v>
      </c>
      <c r="C268" s="1" t="s">
        <v>21</v>
      </c>
      <c r="D268" s="3">
        <v>0.90902777777777777</v>
      </c>
      <c r="E268" t="s">
        <v>26</v>
      </c>
      <c r="F268" s="1">
        <v>8</v>
      </c>
      <c r="G268" s="1"/>
      <c r="H268" s="6" t="s">
        <v>29</v>
      </c>
      <c r="U268" s="2">
        <f>中央線快速_東京方面_平日[[#This Row],[発車時刻(Time)]]-$D267</f>
        <v>1.3888888888887729E-3</v>
      </c>
      <c r="V268" s="4">
        <f t="shared" si="4"/>
        <v>1.8566433566435119</v>
      </c>
    </row>
    <row r="269" spans="2:22" x14ac:dyDescent="0.2">
      <c r="B269" s="7" t="s">
        <v>17</v>
      </c>
      <c r="C269" s="1" t="s">
        <v>22</v>
      </c>
      <c r="D269" s="3">
        <v>0.91041666666666676</v>
      </c>
      <c r="E269" t="s">
        <v>26</v>
      </c>
      <c r="F269" s="1">
        <v>8</v>
      </c>
      <c r="G269" s="1"/>
      <c r="H269" s="6" t="s">
        <v>29</v>
      </c>
      <c r="U269" s="2">
        <f>中央線快速_東京方面_平日[[#This Row],[発車時刻(Time)]]-$D268</f>
        <v>1.388888888888995E-3</v>
      </c>
      <c r="V269" s="4">
        <f t="shared" si="4"/>
        <v>1.8566433566432148</v>
      </c>
    </row>
    <row r="270" spans="2:22" x14ac:dyDescent="0.2">
      <c r="B270" s="7" t="s">
        <v>17</v>
      </c>
      <c r="C270" s="1" t="s">
        <v>21</v>
      </c>
      <c r="D270" s="3">
        <v>0.91319444444444453</v>
      </c>
      <c r="E270" t="s">
        <v>26</v>
      </c>
      <c r="F270" s="1">
        <v>8</v>
      </c>
      <c r="G270" s="1"/>
      <c r="H270" s="6" t="s">
        <v>29</v>
      </c>
      <c r="U270" s="2">
        <f>中央線快速_東京方面_平日[[#This Row],[発車時刻(Time)]]-$D269</f>
        <v>2.7777777777777679E-3</v>
      </c>
      <c r="V270" s="4">
        <f t="shared" si="4"/>
        <v>0.92832167832168166</v>
      </c>
    </row>
    <row r="271" spans="2:22" x14ac:dyDescent="0.2">
      <c r="B271" s="7" t="s">
        <v>17</v>
      </c>
      <c r="C271" s="1" t="s">
        <v>21</v>
      </c>
      <c r="D271" s="3">
        <v>0.9159722222222223</v>
      </c>
      <c r="E271" t="s">
        <v>26</v>
      </c>
      <c r="F271" s="1">
        <v>8</v>
      </c>
      <c r="G271" s="1"/>
      <c r="H271" s="6" t="s">
        <v>29</v>
      </c>
      <c r="U271" s="2">
        <f>中央線快速_東京方面_平日[[#This Row],[発車時刻(Time)]]-$D270</f>
        <v>2.7777777777777679E-3</v>
      </c>
      <c r="V271" s="4">
        <f t="shared" si="4"/>
        <v>0.92832167832168166</v>
      </c>
    </row>
    <row r="272" spans="2:22" x14ac:dyDescent="0.2">
      <c r="B272" s="7" t="s">
        <v>17</v>
      </c>
      <c r="C272" s="1" t="s">
        <v>21</v>
      </c>
      <c r="D272" s="3">
        <v>0.92013888888888884</v>
      </c>
      <c r="E272" t="s">
        <v>26</v>
      </c>
      <c r="F272" s="1">
        <v>8</v>
      </c>
      <c r="G272" s="1"/>
      <c r="H272" s="6" t="s">
        <v>29</v>
      </c>
      <c r="U272" s="2">
        <f>中央線快速_東京方面_平日[[#This Row],[発車時刻(Time)]]-$D271</f>
        <v>4.1666666666665408E-3</v>
      </c>
      <c r="V272" s="4">
        <f t="shared" si="4"/>
        <v>0.61888111888113762</v>
      </c>
    </row>
    <row r="273" spans="2:22" x14ac:dyDescent="0.2">
      <c r="B273" s="7" t="s">
        <v>17</v>
      </c>
      <c r="C273" s="1" t="s">
        <v>21</v>
      </c>
      <c r="D273" s="3">
        <v>0.92708333333333337</v>
      </c>
      <c r="E273" t="s">
        <v>26</v>
      </c>
      <c r="F273" s="1">
        <v>8</v>
      </c>
      <c r="G273" s="1"/>
      <c r="H273" s="6" t="s">
        <v>29</v>
      </c>
      <c r="U273" s="2">
        <f>中央線快速_東京方面_平日[[#This Row],[発車時刻(Time)]]-$D272</f>
        <v>6.9444444444445308E-3</v>
      </c>
      <c r="V273" s="4">
        <f t="shared" si="4"/>
        <v>0.3713286713286667</v>
      </c>
    </row>
    <row r="274" spans="2:22" x14ac:dyDescent="0.2">
      <c r="B274" s="7" t="s">
        <v>17</v>
      </c>
      <c r="C274" s="1" t="s">
        <v>22</v>
      </c>
      <c r="D274" s="3">
        <v>0.9291666666666667</v>
      </c>
      <c r="E274" t="s">
        <v>26</v>
      </c>
      <c r="F274" s="1">
        <v>8</v>
      </c>
      <c r="G274" s="1"/>
      <c r="H274" s="6" t="s">
        <v>29</v>
      </c>
      <c r="U274" s="2">
        <f>中央線快速_東京方面_平日[[#This Row],[発車時刻(Time)]]-$D273</f>
        <v>2.0833333333333259E-3</v>
      </c>
      <c r="V274" s="4">
        <f t="shared" si="4"/>
        <v>1.2377622377622421</v>
      </c>
    </row>
    <row r="275" spans="2:22" x14ac:dyDescent="0.2">
      <c r="B275" s="7" t="s">
        <v>17</v>
      </c>
      <c r="C275" s="1" t="s">
        <v>21</v>
      </c>
      <c r="D275" s="3">
        <v>0.93194444444444446</v>
      </c>
      <c r="E275" t="s">
        <v>26</v>
      </c>
      <c r="F275" s="1">
        <v>8</v>
      </c>
      <c r="G275" s="1"/>
      <c r="H275" s="6" t="s">
        <v>29</v>
      </c>
      <c r="U275" s="2">
        <f>中央線快速_東京方面_平日[[#This Row],[発車時刻(Time)]]-$D274</f>
        <v>2.7777777777777679E-3</v>
      </c>
      <c r="V275" s="4">
        <f t="shared" si="4"/>
        <v>0.92832167832168166</v>
      </c>
    </row>
    <row r="276" spans="2:22" x14ac:dyDescent="0.2">
      <c r="B276" s="7" t="s">
        <v>17</v>
      </c>
      <c r="C276" s="1" t="s">
        <v>21</v>
      </c>
      <c r="D276" s="3">
        <v>0.93541666666666667</v>
      </c>
      <c r="E276" t="s">
        <v>26</v>
      </c>
      <c r="F276" s="1">
        <v>8</v>
      </c>
      <c r="G276" s="1"/>
      <c r="H276" s="6" t="s">
        <v>29</v>
      </c>
      <c r="U276" s="2">
        <f>中央線快速_東京方面_平日[[#This Row],[発車時刻(Time)]]-$D275</f>
        <v>3.4722222222222099E-3</v>
      </c>
      <c r="V276" s="4">
        <f t="shared" si="4"/>
        <v>0.74265734265734529</v>
      </c>
    </row>
    <row r="277" spans="2:22" x14ac:dyDescent="0.2">
      <c r="B277" s="7" t="s">
        <v>17</v>
      </c>
      <c r="C277" s="1" t="s">
        <v>21</v>
      </c>
      <c r="D277" s="3">
        <v>0.93819444444444444</v>
      </c>
      <c r="E277" t="s">
        <v>26</v>
      </c>
      <c r="F277" s="1">
        <v>7</v>
      </c>
      <c r="G277" s="1"/>
      <c r="H277" s="6" t="s">
        <v>29</v>
      </c>
      <c r="U277" s="2">
        <f>中央線快速_東京方面_平日[[#This Row],[発車時刻(Time)]]-$D276</f>
        <v>2.7777777777777679E-3</v>
      </c>
      <c r="V277" s="4">
        <f t="shared" si="4"/>
        <v>0.92832167832168166</v>
      </c>
    </row>
    <row r="278" spans="2:22" x14ac:dyDescent="0.2">
      <c r="B278" s="7" t="s">
        <v>17</v>
      </c>
      <c r="C278" s="1" t="s">
        <v>21</v>
      </c>
      <c r="D278" s="3">
        <v>0.94097222222222221</v>
      </c>
      <c r="E278" t="s">
        <v>26</v>
      </c>
      <c r="F278" s="1">
        <v>8</v>
      </c>
      <c r="G278" s="1"/>
      <c r="H278" s="6" t="s">
        <v>29</v>
      </c>
      <c r="U278" s="2">
        <f>中央線快速_東京方面_平日[[#This Row],[発車時刻(Time)]]-$D277</f>
        <v>2.7777777777777679E-3</v>
      </c>
      <c r="V278" s="4">
        <f t="shared" si="4"/>
        <v>0.92832167832168166</v>
      </c>
    </row>
    <row r="279" spans="2:22" x14ac:dyDescent="0.2">
      <c r="B279" s="7" t="s">
        <v>17</v>
      </c>
      <c r="C279" s="1" t="s">
        <v>21</v>
      </c>
      <c r="D279" s="3">
        <v>0.94444444444444453</v>
      </c>
      <c r="E279" t="s">
        <v>26</v>
      </c>
      <c r="F279" s="1">
        <v>8</v>
      </c>
      <c r="G279" s="1"/>
      <c r="H279" s="6" t="s">
        <v>29</v>
      </c>
      <c r="U279" s="2">
        <f>中央線快速_東京方面_平日[[#This Row],[発車時刻(Time)]]-$D278</f>
        <v>3.4722222222223209E-3</v>
      </c>
      <c r="V279" s="4">
        <f t="shared" si="4"/>
        <v>0.74265734265732153</v>
      </c>
    </row>
    <row r="280" spans="2:22" x14ac:dyDescent="0.2">
      <c r="B280" s="7" t="s">
        <v>17</v>
      </c>
      <c r="C280" s="1" t="s">
        <v>21</v>
      </c>
      <c r="D280" s="3">
        <v>0.9472222222222223</v>
      </c>
      <c r="E280" t="s">
        <v>26</v>
      </c>
      <c r="F280" s="1">
        <v>8</v>
      </c>
      <c r="G280" s="1"/>
      <c r="H280" s="6" t="s">
        <v>29</v>
      </c>
      <c r="U280" s="2">
        <f>中央線快速_東京方面_平日[[#This Row],[発車時刻(Time)]]-$D279</f>
        <v>2.7777777777777679E-3</v>
      </c>
      <c r="V280" s="4">
        <f t="shared" si="4"/>
        <v>0.92832167832168166</v>
      </c>
    </row>
    <row r="281" spans="2:22" x14ac:dyDescent="0.2">
      <c r="B281" s="7" t="s">
        <v>17</v>
      </c>
      <c r="C281" s="1" t="s">
        <v>21</v>
      </c>
      <c r="D281" s="3">
        <v>0.9506944444444444</v>
      </c>
      <c r="E281" t="s">
        <v>26</v>
      </c>
      <c r="F281" s="1">
        <v>8</v>
      </c>
      <c r="G281" s="1"/>
      <c r="H281" s="6" t="s">
        <v>29</v>
      </c>
      <c r="U281" s="2">
        <f>中央線快速_東京方面_平日[[#This Row],[発車時刻(Time)]]-$D280</f>
        <v>3.4722222222220989E-3</v>
      </c>
      <c r="V281" s="4">
        <f t="shared" si="4"/>
        <v>0.74265734265736905</v>
      </c>
    </row>
    <row r="282" spans="2:22" x14ac:dyDescent="0.2">
      <c r="B282" s="7" t="s">
        <v>17</v>
      </c>
      <c r="C282" s="1" t="s">
        <v>22</v>
      </c>
      <c r="D282" s="3">
        <v>0.95208333333333339</v>
      </c>
      <c r="E282" t="s">
        <v>26</v>
      </c>
      <c r="F282" s="1">
        <v>8</v>
      </c>
      <c r="G282" s="1"/>
      <c r="H282" s="6" t="s">
        <v>29</v>
      </c>
      <c r="U282" s="2">
        <f>中央線快速_東京方面_平日[[#This Row],[発車時刻(Time)]]-$D281</f>
        <v>1.388888888888995E-3</v>
      </c>
      <c r="V282" s="4">
        <f t="shared" si="4"/>
        <v>1.8566433566432148</v>
      </c>
    </row>
    <row r="283" spans="2:22" x14ac:dyDescent="0.2">
      <c r="B283" s="7" t="s">
        <v>17</v>
      </c>
      <c r="C283" s="1" t="s">
        <v>21</v>
      </c>
      <c r="D283" s="3">
        <v>0.95486111111111116</v>
      </c>
      <c r="E283" t="s">
        <v>26</v>
      </c>
      <c r="F283" s="1">
        <v>8</v>
      </c>
      <c r="G283" s="1"/>
      <c r="H283" s="6" t="s">
        <v>29</v>
      </c>
      <c r="U283" s="2">
        <f>中央線快速_東京方面_平日[[#This Row],[発車時刻(Time)]]-$D282</f>
        <v>2.7777777777777679E-3</v>
      </c>
      <c r="V283" s="4">
        <f t="shared" si="4"/>
        <v>0.92832167832168166</v>
      </c>
    </row>
    <row r="284" spans="2:22" x14ac:dyDescent="0.2">
      <c r="B284" s="7" t="s">
        <v>17</v>
      </c>
      <c r="C284" s="1" t="s">
        <v>21</v>
      </c>
      <c r="D284" s="3">
        <v>0.9590277777777777</v>
      </c>
      <c r="E284" t="s">
        <v>26</v>
      </c>
      <c r="F284" s="1">
        <v>8</v>
      </c>
      <c r="G284" s="1"/>
      <c r="H284" s="6" t="s">
        <v>29</v>
      </c>
      <c r="U284" s="2">
        <f>中央線快速_東京方面_平日[[#This Row],[発車時刻(Time)]]-$D283</f>
        <v>4.1666666666665408E-3</v>
      </c>
      <c r="V284" s="4">
        <f t="shared" si="4"/>
        <v>0.61888111888113762</v>
      </c>
    </row>
    <row r="285" spans="2:22" x14ac:dyDescent="0.2">
      <c r="B285" s="7" t="s">
        <v>17</v>
      </c>
      <c r="C285" s="1" t="s">
        <v>21</v>
      </c>
      <c r="D285" s="3">
        <v>0.96388888888888891</v>
      </c>
      <c r="E285" t="s">
        <v>26</v>
      </c>
      <c r="F285" s="1">
        <v>8</v>
      </c>
      <c r="G285" s="1"/>
      <c r="H285" s="6" t="s">
        <v>29</v>
      </c>
      <c r="U285" s="2">
        <f>中央線快速_東京方面_平日[[#This Row],[発車時刻(Time)]]-$D284</f>
        <v>4.8611111111112049E-3</v>
      </c>
      <c r="V285" s="4">
        <f t="shared" si="4"/>
        <v>0.53046953046952028</v>
      </c>
    </row>
    <row r="286" spans="2:22" x14ac:dyDescent="0.2">
      <c r="B286" s="7" t="s">
        <v>17</v>
      </c>
      <c r="C286" s="1" t="s">
        <v>22</v>
      </c>
      <c r="D286" s="3">
        <v>0.96875</v>
      </c>
      <c r="E286" t="s">
        <v>26</v>
      </c>
      <c r="F286" s="1">
        <v>8</v>
      </c>
      <c r="G286" s="1"/>
      <c r="H286" s="6" t="s">
        <v>29</v>
      </c>
      <c r="U286" s="2">
        <f>中央線快速_東京方面_平日[[#This Row],[発車時刻(Time)]]-$D285</f>
        <v>4.8611111111110938E-3</v>
      </c>
      <c r="V286" s="4">
        <f t="shared" si="4"/>
        <v>0.53046953046953238</v>
      </c>
    </row>
    <row r="287" spans="2:22" x14ac:dyDescent="0.2">
      <c r="B287" s="7" t="s">
        <v>17</v>
      </c>
      <c r="C287" s="1" t="s">
        <v>21</v>
      </c>
      <c r="D287" s="3">
        <v>0.97986111111111107</v>
      </c>
      <c r="E287" t="s">
        <v>26</v>
      </c>
      <c r="F287" s="1">
        <v>8</v>
      </c>
      <c r="G287" s="1"/>
      <c r="H287" s="6" t="s">
        <v>29</v>
      </c>
      <c r="U287" s="2">
        <f>中央線快速_東京方面_平日[[#This Row],[発車時刻(Time)]]-$D286</f>
        <v>1.1111111111111072E-2</v>
      </c>
      <c r="V287" s="4">
        <f t="shared" si="4"/>
        <v>0.23208041958042042</v>
      </c>
    </row>
    <row r="288" spans="2:22" x14ac:dyDescent="0.2">
      <c r="B288" s="7" t="s">
        <v>17</v>
      </c>
      <c r="C288" s="1" t="s">
        <v>21</v>
      </c>
      <c r="D288" s="3">
        <v>0.98611111111111116</v>
      </c>
      <c r="E288" t="s">
        <v>26</v>
      </c>
      <c r="F288" s="1">
        <v>8</v>
      </c>
      <c r="G288" s="1"/>
      <c r="H288" s="6" t="s">
        <v>29</v>
      </c>
      <c r="U288" s="2">
        <f>中央線快速_東京方面_平日[[#This Row],[発車時刻(Time)]]-$D287</f>
        <v>6.2500000000000888E-3</v>
      </c>
      <c r="V288" s="4">
        <f t="shared" si="4"/>
        <v>0.41258741258740672</v>
      </c>
    </row>
    <row r="289" spans="2:22" x14ac:dyDescent="0.2">
      <c r="B289" s="7" t="s">
        <v>17</v>
      </c>
      <c r="C289" s="1" t="s">
        <v>21</v>
      </c>
      <c r="D289" s="3">
        <v>0.99097222222222225</v>
      </c>
      <c r="E289" t="s">
        <v>26</v>
      </c>
      <c r="F289" s="1">
        <v>8</v>
      </c>
      <c r="G289" s="1"/>
      <c r="H289" s="6" t="s">
        <v>29</v>
      </c>
      <c r="U289" s="2">
        <f>中央線快速_東京方面_平日[[#This Row],[発車時刻(Time)]]-$D288</f>
        <v>4.8611111111110938E-3</v>
      </c>
      <c r="V289" s="4">
        <f t="shared" si="4"/>
        <v>0.53046953046953238</v>
      </c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289">
      <formula1>路線名</formula1>
    </dataValidation>
  </dataValidations>
  <pageMargins left="0.7" right="0.7" top="0.75" bottom="0.75" header="0.3" footer="0.3"/>
  <pageSetup paperSize="9" orientation="portrait" r:id="rId6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V317"/>
  <sheetViews>
    <sheetView workbookViewId="0"/>
  </sheetViews>
  <sheetFormatPr defaultRowHeight="13.2" x14ac:dyDescent="0.2"/>
  <cols>
    <col min="1" max="1" width="2.21875" customWidth="1"/>
    <col min="2" max="2" width="13.44140625" bestFit="1" customWidth="1"/>
    <col min="3" max="3" width="14.109375" bestFit="1" customWidth="1"/>
    <col min="4" max="4" width="18.6640625" bestFit="1" customWidth="1"/>
    <col min="5" max="5" width="15" bestFit="1" customWidth="1"/>
    <col min="6" max="6" width="16.5546875" bestFit="1" customWidth="1"/>
    <col min="7" max="7" width="13.6640625" bestFit="1" customWidth="1"/>
    <col min="8" max="8" width="10.109375" bestFit="1" customWidth="1"/>
    <col min="9" max="9" width="2.21875" customWidth="1"/>
    <col min="10" max="10" width="15" customWidth="1"/>
    <col min="11" max="11" width="16.109375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2" t="s">
        <v>70</v>
      </c>
      <c r="K2" s="14">
        <f>AVERAGE(U4:U316)</f>
        <v>2.7023429179978699E-3</v>
      </c>
    </row>
    <row r="3" spans="2:22" x14ac:dyDescent="0.2">
      <c r="B3" s="17" t="s">
        <v>71</v>
      </c>
      <c r="C3" t="s">
        <v>68</v>
      </c>
      <c r="D3" s="2">
        <v>0.19583333333333333</v>
      </c>
      <c r="E3" t="s">
        <v>69</v>
      </c>
      <c r="F3" s="16">
        <v>15</v>
      </c>
      <c r="G3" s="1"/>
      <c r="H3" s="6"/>
      <c r="U3" s="5">
        <v>0</v>
      </c>
      <c r="V3" s="4">
        <f>IFERROR((1/(U3/$K$2)), 0)</f>
        <v>0</v>
      </c>
    </row>
    <row r="4" spans="2:22" x14ac:dyDescent="0.2">
      <c r="B4" s="17" t="s">
        <v>71</v>
      </c>
      <c r="C4" t="s">
        <v>68</v>
      </c>
      <c r="D4" s="2">
        <v>0.20972222222222223</v>
      </c>
      <c r="E4" t="s">
        <v>69</v>
      </c>
      <c r="F4" s="16">
        <v>15</v>
      </c>
      <c r="G4" s="1"/>
      <c r="H4" s="6"/>
      <c r="U4" s="2">
        <f>中央線快速_東京方面_平日6[[#This Row],[発車時刻(Time)]]-$D3</f>
        <v>1.3888888888888895E-2</v>
      </c>
      <c r="V4" s="4">
        <f t="shared" ref="V4:V67" si="0">IFERROR((1/(U4/$K$2)), 0)</f>
        <v>0.19456869009584654</v>
      </c>
    </row>
    <row r="5" spans="2:22" x14ac:dyDescent="0.2">
      <c r="B5" s="17" t="s">
        <v>71</v>
      </c>
      <c r="C5" t="s">
        <v>68</v>
      </c>
      <c r="D5" s="2">
        <v>0.22152777777777777</v>
      </c>
      <c r="E5" t="s">
        <v>69</v>
      </c>
      <c r="F5" s="16">
        <v>15</v>
      </c>
      <c r="G5" s="1"/>
      <c r="H5" s="6"/>
      <c r="U5" s="2">
        <f>中央線快速_東京方面_平日6[[#This Row],[発車時刻(Time)]]-$D4</f>
        <v>1.1805555555555541E-2</v>
      </c>
      <c r="V5" s="4">
        <f t="shared" si="0"/>
        <v>0.22890434128923162</v>
      </c>
    </row>
    <row r="6" spans="2:22" x14ac:dyDescent="0.2">
      <c r="B6" s="17" t="s">
        <v>71</v>
      </c>
      <c r="C6" t="s">
        <v>68</v>
      </c>
      <c r="D6" s="2">
        <v>0.23402777777777781</v>
      </c>
      <c r="E6" t="s">
        <v>69</v>
      </c>
      <c r="F6" s="16">
        <v>15</v>
      </c>
      <c r="G6" s="1"/>
      <c r="H6" s="6"/>
      <c r="U6" s="2">
        <f>中央線快速_東京方面_平日6[[#This Row],[発車時刻(Time)]]-$D5</f>
        <v>1.2500000000000039E-2</v>
      </c>
      <c r="V6" s="4">
        <f t="shared" si="0"/>
        <v>0.21618743343982894</v>
      </c>
    </row>
    <row r="7" spans="2:22" x14ac:dyDescent="0.2">
      <c r="B7" s="17" t="s">
        <v>71</v>
      </c>
      <c r="C7" t="s">
        <v>68</v>
      </c>
      <c r="D7" s="2">
        <v>0.24097222222222223</v>
      </c>
      <c r="E7" t="s">
        <v>69</v>
      </c>
      <c r="F7" s="16">
        <v>15</v>
      </c>
      <c r="G7" s="1"/>
      <c r="H7" s="6"/>
      <c r="U7" s="2">
        <f>中央線快速_東京方面_平日6[[#This Row],[発車時刻(Time)]]-$D6</f>
        <v>6.9444444444444198E-3</v>
      </c>
      <c r="V7" s="4">
        <f t="shared" si="0"/>
        <v>0.38913738019169464</v>
      </c>
    </row>
    <row r="8" spans="2:22" x14ac:dyDescent="0.2">
      <c r="B8" s="17" t="s">
        <v>71</v>
      </c>
      <c r="C8" t="s">
        <v>68</v>
      </c>
      <c r="D8" s="2">
        <v>0.24861111111111112</v>
      </c>
      <c r="E8" t="s">
        <v>69</v>
      </c>
      <c r="F8" s="16">
        <v>15</v>
      </c>
      <c r="G8" s="1"/>
      <c r="H8" s="6"/>
      <c r="U8" s="2">
        <f>中央線快速_東京方面_平日6[[#This Row],[発車時刻(Time)]]-$D7</f>
        <v>7.6388888888888895E-3</v>
      </c>
      <c r="V8" s="4">
        <f t="shared" si="0"/>
        <v>0.35376125471972114</v>
      </c>
    </row>
    <row r="9" spans="2:22" x14ac:dyDescent="0.2">
      <c r="B9" s="17" t="s">
        <v>71</v>
      </c>
      <c r="C9" t="s">
        <v>68</v>
      </c>
      <c r="D9" s="2">
        <v>0.25416666666666665</v>
      </c>
      <c r="E9" t="s">
        <v>69</v>
      </c>
      <c r="F9" s="16">
        <v>15</v>
      </c>
      <c r="G9" s="1"/>
      <c r="H9" s="6"/>
      <c r="U9" s="2">
        <f>中央線快速_東京方面_平日6[[#This Row],[発車時刻(Time)]]-$D8</f>
        <v>5.5555555555555358E-3</v>
      </c>
      <c r="V9" s="4">
        <f t="shared" si="0"/>
        <v>0.48642172523961835</v>
      </c>
    </row>
    <row r="10" spans="2:22" x14ac:dyDescent="0.2">
      <c r="B10" s="17" t="s">
        <v>71</v>
      </c>
      <c r="C10" t="s">
        <v>68</v>
      </c>
      <c r="D10" s="2">
        <v>0.25833333333333336</v>
      </c>
      <c r="E10" t="s">
        <v>69</v>
      </c>
      <c r="F10" s="16">
        <v>15</v>
      </c>
      <c r="G10" s="1"/>
      <c r="H10" s="6"/>
      <c r="U10" s="2">
        <f>中央線快速_東京方面_平日6[[#This Row],[発車時刻(Time)]]-$D9</f>
        <v>4.1666666666667074E-3</v>
      </c>
      <c r="V10" s="4">
        <f t="shared" si="0"/>
        <v>0.64856230031948248</v>
      </c>
    </row>
    <row r="11" spans="2:22" x14ac:dyDescent="0.2">
      <c r="B11" s="17" t="s">
        <v>71</v>
      </c>
      <c r="C11" t="s">
        <v>68</v>
      </c>
      <c r="D11" s="2">
        <v>0.26250000000000001</v>
      </c>
      <c r="E11" t="s">
        <v>69</v>
      </c>
      <c r="F11" s="16">
        <v>15</v>
      </c>
      <c r="G11" s="1"/>
      <c r="H11" s="6"/>
      <c r="U11" s="2">
        <f>中央線快速_東京方面_平日6[[#This Row],[発車時刻(Time)]]-$D10</f>
        <v>4.1666666666666519E-3</v>
      </c>
      <c r="V11" s="4">
        <f t="shared" si="0"/>
        <v>0.64856230031949103</v>
      </c>
    </row>
    <row r="12" spans="2:22" x14ac:dyDescent="0.2">
      <c r="B12" s="17" t="s">
        <v>71</v>
      </c>
      <c r="C12" t="s">
        <v>68</v>
      </c>
      <c r="D12" s="2">
        <v>0.26527777777777778</v>
      </c>
      <c r="E12" t="s">
        <v>69</v>
      </c>
      <c r="F12" s="16">
        <v>15</v>
      </c>
      <c r="G12" s="1"/>
      <c r="H12" s="6"/>
      <c r="U12" s="2">
        <f>中央線快速_東京方面_平日6[[#This Row],[発車時刻(Time)]]-$D11</f>
        <v>2.7777777777777679E-3</v>
      </c>
      <c r="V12" s="4">
        <f t="shared" si="0"/>
        <v>0.9728434504792367</v>
      </c>
    </row>
    <row r="13" spans="2:22" x14ac:dyDescent="0.2">
      <c r="B13" s="17" t="s">
        <v>71</v>
      </c>
      <c r="C13" t="s">
        <v>68</v>
      </c>
      <c r="D13" s="2">
        <v>0.27083333333333331</v>
      </c>
      <c r="E13" t="s">
        <v>69</v>
      </c>
      <c r="F13" s="16">
        <v>15</v>
      </c>
      <c r="G13" s="1"/>
      <c r="H13" s="6"/>
      <c r="U13" s="2">
        <f>中央線快速_東京方面_平日6[[#This Row],[発車時刻(Time)]]-$D12</f>
        <v>5.5555555555555358E-3</v>
      </c>
      <c r="V13" s="4">
        <f t="shared" si="0"/>
        <v>0.48642172523961835</v>
      </c>
    </row>
    <row r="14" spans="2:22" x14ac:dyDescent="0.2">
      <c r="B14" s="17" t="s">
        <v>71</v>
      </c>
      <c r="C14" t="s">
        <v>68</v>
      </c>
      <c r="D14" s="2">
        <v>0.27638888888888885</v>
      </c>
      <c r="E14" t="s">
        <v>69</v>
      </c>
      <c r="F14" s="16">
        <v>15</v>
      </c>
      <c r="G14" s="1"/>
      <c r="H14" s="6"/>
      <c r="U14" s="2">
        <f>中央線快速_東京方面_平日6[[#This Row],[発車時刻(Time)]]-$D13</f>
        <v>5.5555555555555358E-3</v>
      </c>
      <c r="V14" s="4">
        <f t="shared" si="0"/>
        <v>0.48642172523961835</v>
      </c>
    </row>
    <row r="15" spans="2:22" x14ac:dyDescent="0.2">
      <c r="B15" s="17" t="s">
        <v>71</v>
      </c>
      <c r="C15" t="s">
        <v>68</v>
      </c>
      <c r="D15" s="2">
        <v>0.27847222222222223</v>
      </c>
      <c r="E15" t="s">
        <v>69</v>
      </c>
      <c r="F15" s="16">
        <v>15</v>
      </c>
      <c r="G15" s="1"/>
      <c r="H15" s="6"/>
      <c r="U15" s="2">
        <f>中央線快速_東京方面_平日6[[#This Row],[発車時刻(Time)]]-$D14</f>
        <v>2.0833333333333814E-3</v>
      </c>
      <c r="V15" s="4">
        <f t="shared" si="0"/>
        <v>1.2971246006389476</v>
      </c>
    </row>
    <row r="16" spans="2:22" x14ac:dyDescent="0.2">
      <c r="B16" s="17" t="s">
        <v>71</v>
      </c>
      <c r="C16" t="s">
        <v>68</v>
      </c>
      <c r="D16" s="2">
        <v>0.28263888888888888</v>
      </c>
      <c r="E16" t="s">
        <v>69</v>
      </c>
      <c r="F16" s="16">
        <v>15</v>
      </c>
      <c r="G16" s="1"/>
      <c r="H16" s="6"/>
      <c r="U16" s="2">
        <f>中央線快速_東京方面_平日6[[#This Row],[発車時刻(Time)]]-$D15</f>
        <v>4.1666666666666519E-3</v>
      </c>
      <c r="V16" s="4">
        <f t="shared" si="0"/>
        <v>0.64856230031949103</v>
      </c>
    </row>
    <row r="17" spans="2:22" x14ac:dyDescent="0.2">
      <c r="B17" s="17" t="s">
        <v>71</v>
      </c>
      <c r="C17" t="s">
        <v>68</v>
      </c>
      <c r="D17" s="2">
        <v>0.28680555555555554</v>
      </c>
      <c r="E17" t="s">
        <v>69</v>
      </c>
      <c r="F17" s="16">
        <v>15</v>
      </c>
      <c r="G17" s="1"/>
      <c r="H17" s="6"/>
      <c r="U17" s="2">
        <f>中央線快速_東京方面_平日6[[#This Row],[発車時刻(Time)]]-$D16</f>
        <v>4.1666666666666519E-3</v>
      </c>
      <c r="V17" s="4">
        <f t="shared" si="0"/>
        <v>0.64856230031949103</v>
      </c>
    </row>
    <row r="18" spans="2:22" x14ac:dyDescent="0.2">
      <c r="B18" s="17" t="s">
        <v>71</v>
      </c>
      <c r="C18" t="s">
        <v>68</v>
      </c>
      <c r="D18" s="2">
        <v>0.29097222222222224</v>
      </c>
      <c r="E18" t="s">
        <v>69</v>
      </c>
      <c r="F18" s="16">
        <v>15</v>
      </c>
      <c r="G18" s="1"/>
      <c r="H18" s="6"/>
      <c r="U18" s="2">
        <f>中央線快速_東京方面_平日6[[#This Row],[発車時刻(Time)]]-$D17</f>
        <v>4.1666666666667074E-3</v>
      </c>
      <c r="V18" s="4">
        <f t="shared" si="0"/>
        <v>0.64856230031948248</v>
      </c>
    </row>
    <row r="19" spans="2:22" x14ac:dyDescent="0.2">
      <c r="B19" s="17" t="s">
        <v>71</v>
      </c>
      <c r="C19" t="s">
        <v>68</v>
      </c>
      <c r="D19" s="2">
        <v>0.29444444444444445</v>
      </c>
      <c r="E19" t="s">
        <v>69</v>
      </c>
      <c r="F19" s="16">
        <v>15</v>
      </c>
      <c r="G19" s="1"/>
      <c r="H19" s="6"/>
      <c r="U19" s="2">
        <f>中央線快速_東京方面_平日6[[#This Row],[発車時刻(Time)]]-$D18</f>
        <v>3.4722222222222099E-3</v>
      </c>
      <c r="V19" s="4">
        <f t="shared" si="0"/>
        <v>0.77827476038338927</v>
      </c>
    </row>
    <row r="20" spans="2:22" x14ac:dyDescent="0.2">
      <c r="B20" s="17" t="s">
        <v>71</v>
      </c>
      <c r="C20" t="s">
        <v>68</v>
      </c>
      <c r="D20" s="2">
        <v>0.29791666666666666</v>
      </c>
      <c r="E20" t="s">
        <v>69</v>
      </c>
      <c r="F20" s="16">
        <v>15</v>
      </c>
      <c r="G20" s="1"/>
      <c r="H20" s="6"/>
      <c r="U20" s="2">
        <f>中央線快速_東京方面_平日6[[#This Row],[発車時刻(Time)]]-$D19</f>
        <v>3.4722222222222099E-3</v>
      </c>
      <c r="V20" s="4">
        <f t="shared" si="0"/>
        <v>0.77827476038338927</v>
      </c>
    </row>
    <row r="21" spans="2:22" x14ac:dyDescent="0.2">
      <c r="B21" s="17" t="s">
        <v>71</v>
      </c>
      <c r="C21" t="s">
        <v>68</v>
      </c>
      <c r="D21" s="2">
        <v>0.3</v>
      </c>
      <c r="E21" t="s">
        <v>69</v>
      </c>
      <c r="F21" s="16">
        <v>15</v>
      </c>
      <c r="G21" s="1"/>
      <c r="H21" s="6"/>
      <c r="U21" s="2">
        <f>中央線快速_東京方面_平日6[[#This Row],[発車時刻(Time)]]-$D20</f>
        <v>2.0833333333333259E-3</v>
      </c>
      <c r="V21" s="4">
        <f t="shared" si="0"/>
        <v>1.2971246006389821</v>
      </c>
    </row>
    <row r="22" spans="2:22" x14ac:dyDescent="0.2">
      <c r="B22" s="17" t="s">
        <v>71</v>
      </c>
      <c r="C22" t="s">
        <v>68</v>
      </c>
      <c r="D22" s="2">
        <v>0.30138888888888887</v>
      </c>
      <c r="E22" t="s">
        <v>69</v>
      </c>
      <c r="F22" s="16">
        <v>15</v>
      </c>
      <c r="G22" s="1"/>
      <c r="H22" s="6"/>
      <c r="U22" s="2">
        <f>中央線快速_東京方面_平日6[[#This Row],[発車時刻(Time)]]-$D21</f>
        <v>1.388888888888884E-3</v>
      </c>
      <c r="V22" s="4">
        <f t="shared" si="0"/>
        <v>1.9456869009584734</v>
      </c>
    </row>
    <row r="23" spans="2:22" x14ac:dyDescent="0.2">
      <c r="B23" s="17" t="s">
        <v>71</v>
      </c>
      <c r="C23" t="s">
        <v>68</v>
      </c>
      <c r="D23" s="2">
        <v>0.3034722222222222</v>
      </c>
      <c r="E23" t="s">
        <v>69</v>
      </c>
      <c r="F23" s="16">
        <v>15</v>
      </c>
      <c r="G23" s="1"/>
      <c r="H23" s="6"/>
      <c r="U23" s="2">
        <f>中央線快速_東京方面_平日6[[#This Row],[発車時刻(Time)]]-$D22</f>
        <v>2.0833333333333259E-3</v>
      </c>
      <c r="V23" s="4">
        <f t="shared" si="0"/>
        <v>1.2971246006389821</v>
      </c>
    </row>
    <row r="24" spans="2:22" x14ac:dyDescent="0.2">
      <c r="B24" s="17" t="s">
        <v>71</v>
      </c>
      <c r="C24" t="s">
        <v>68</v>
      </c>
      <c r="D24" s="2">
        <v>0.30555555555555552</v>
      </c>
      <c r="E24" t="s">
        <v>69</v>
      </c>
      <c r="F24" s="16">
        <v>15</v>
      </c>
      <c r="G24" s="1"/>
      <c r="H24" s="6"/>
      <c r="U24" s="2">
        <f>中央線快速_東京方面_平日6[[#This Row],[発車時刻(Time)]]-$D23</f>
        <v>2.0833333333333259E-3</v>
      </c>
      <c r="V24" s="4">
        <f t="shared" si="0"/>
        <v>1.2971246006389821</v>
      </c>
    </row>
    <row r="25" spans="2:22" x14ac:dyDescent="0.2">
      <c r="B25" s="17" t="s">
        <v>71</v>
      </c>
      <c r="C25" t="s">
        <v>68</v>
      </c>
      <c r="D25" s="2">
        <v>0.30763888888888891</v>
      </c>
      <c r="E25" t="s">
        <v>69</v>
      </c>
      <c r="F25" s="16">
        <v>15</v>
      </c>
      <c r="G25" s="1"/>
      <c r="H25" s="6"/>
      <c r="U25" s="2">
        <f>中央線快速_東京方面_平日6[[#This Row],[発車時刻(Time)]]-$D24</f>
        <v>2.0833333333333814E-3</v>
      </c>
      <c r="V25" s="4">
        <f t="shared" si="0"/>
        <v>1.2971246006389476</v>
      </c>
    </row>
    <row r="26" spans="2:22" x14ac:dyDescent="0.2">
      <c r="B26" s="17" t="s">
        <v>71</v>
      </c>
      <c r="C26" t="s">
        <v>68</v>
      </c>
      <c r="D26" s="2">
        <v>0.30902777777777779</v>
      </c>
      <c r="E26" t="s">
        <v>69</v>
      </c>
      <c r="F26" s="16">
        <v>15</v>
      </c>
      <c r="G26" s="1"/>
      <c r="H26" s="6"/>
      <c r="U26" s="2">
        <f>中央線快速_東京方面_平日6[[#This Row],[発車時刻(Time)]]-$D25</f>
        <v>1.388888888888884E-3</v>
      </c>
      <c r="V26" s="4">
        <f t="shared" si="0"/>
        <v>1.9456869009584734</v>
      </c>
    </row>
    <row r="27" spans="2:22" x14ac:dyDescent="0.2">
      <c r="B27" s="17" t="s">
        <v>71</v>
      </c>
      <c r="C27" t="s">
        <v>68</v>
      </c>
      <c r="D27" s="2">
        <v>0.31111111111111112</v>
      </c>
      <c r="E27" t="s">
        <v>69</v>
      </c>
      <c r="F27" s="16">
        <v>15</v>
      </c>
      <c r="G27" s="1"/>
      <c r="H27" s="6"/>
      <c r="U27" s="2">
        <f>中央線快速_東京方面_平日6[[#This Row],[発車時刻(Time)]]-$D26</f>
        <v>2.0833333333333259E-3</v>
      </c>
      <c r="V27" s="4">
        <f t="shared" si="0"/>
        <v>1.2971246006389821</v>
      </c>
    </row>
    <row r="28" spans="2:22" x14ac:dyDescent="0.2">
      <c r="B28" s="17" t="s">
        <v>71</v>
      </c>
      <c r="C28" t="s">
        <v>68</v>
      </c>
      <c r="D28" s="2">
        <v>0.31319444444444444</v>
      </c>
      <c r="E28" t="s">
        <v>69</v>
      </c>
      <c r="F28" s="16">
        <v>15</v>
      </c>
      <c r="G28" s="1"/>
      <c r="H28" s="6"/>
      <c r="U28" s="2">
        <f>中央線快速_東京方面_平日6[[#This Row],[発車時刻(Time)]]-$D27</f>
        <v>2.0833333333333259E-3</v>
      </c>
      <c r="V28" s="4">
        <f t="shared" si="0"/>
        <v>1.2971246006389821</v>
      </c>
    </row>
    <row r="29" spans="2:22" x14ac:dyDescent="0.2">
      <c r="B29" s="17" t="s">
        <v>71</v>
      </c>
      <c r="C29" t="s">
        <v>68</v>
      </c>
      <c r="D29" s="2">
        <v>0.31527777777777777</v>
      </c>
      <c r="E29" t="s">
        <v>69</v>
      </c>
      <c r="F29" s="16">
        <v>15</v>
      </c>
      <c r="G29" s="1"/>
      <c r="H29" s="6"/>
      <c r="U29" s="2">
        <f>中央線快速_東京方面_平日6[[#This Row],[発車時刻(Time)]]-$D28</f>
        <v>2.0833333333333259E-3</v>
      </c>
      <c r="V29" s="4">
        <f t="shared" si="0"/>
        <v>1.2971246006389821</v>
      </c>
    </row>
    <row r="30" spans="2:22" x14ac:dyDescent="0.2">
      <c r="B30" s="17" t="s">
        <v>71</v>
      </c>
      <c r="C30" t="s">
        <v>68</v>
      </c>
      <c r="D30" s="2">
        <v>0.31666666666666665</v>
      </c>
      <c r="E30" t="s">
        <v>69</v>
      </c>
      <c r="F30" s="16">
        <v>15</v>
      </c>
      <c r="G30" s="1"/>
      <c r="H30" s="6"/>
      <c r="U30" s="2">
        <f>中央線快速_東京方面_平日6[[#This Row],[発車時刻(Time)]]-$D29</f>
        <v>1.388888888888884E-3</v>
      </c>
      <c r="V30" s="4">
        <f t="shared" si="0"/>
        <v>1.9456869009584734</v>
      </c>
    </row>
    <row r="31" spans="2:22" x14ac:dyDescent="0.2">
      <c r="B31" s="17" t="s">
        <v>71</v>
      </c>
      <c r="C31" t="s">
        <v>68</v>
      </c>
      <c r="D31" s="2">
        <v>0.31875000000000003</v>
      </c>
      <c r="E31" t="s">
        <v>69</v>
      </c>
      <c r="F31" s="16">
        <v>15</v>
      </c>
      <c r="G31" s="1"/>
      <c r="H31" s="6"/>
      <c r="U31" s="2">
        <f>中央線快速_東京方面_平日6[[#This Row],[発車時刻(Time)]]-$D30</f>
        <v>2.0833333333333814E-3</v>
      </c>
      <c r="V31" s="4">
        <f t="shared" si="0"/>
        <v>1.2971246006389476</v>
      </c>
    </row>
    <row r="32" spans="2:22" x14ac:dyDescent="0.2">
      <c r="B32" s="17" t="s">
        <v>71</v>
      </c>
      <c r="C32" t="s">
        <v>68</v>
      </c>
      <c r="D32" s="2">
        <v>0.32083333333333336</v>
      </c>
      <c r="E32" t="s">
        <v>69</v>
      </c>
      <c r="F32" s="16">
        <v>15</v>
      </c>
      <c r="G32" s="1"/>
      <c r="H32" s="6"/>
      <c r="U32" s="2">
        <f>中央線快速_東京方面_平日6[[#This Row],[発車時刻(Time)]]-$D31</f>
        <v>2.0833333333333259E-3</v>
      </c>
      <c r="V32" s="4">
        <f t="shared" si="0"/>
        <v>1.2971246006389821</v>
      </c>
    </row>
    <row r="33" spans="2:22" x14ac:dyDescent="0.2">
      <c r="B33" s="17" t="s">
        <v>71</v>
      </c>
      <c r="C33" t="s">
        <v>68</v>
      </c>
      <c r="D33" s="2">
        <v>0.32291666666666669</v>
      </c>
      <c r="E33" t="s">
        <v>69</v>
      </c>
      <c r="F33" s="16">
        <v>15</v>
      </c>
      <c r="G33" s="1"/>
      <c r="H33" s="6"/>
      <c r="U33" s="2">
        <f>中央線快速_東京方面_平日6[[#This Row],[発車時刻(Time)]]-$D32</f>
        <v>2.0833333333333259E-3</v>
      </c>
      <c r="V33" s="4">
        <f t="shared" si="0"/>
        <v>1.2971246006389821</v>
      </c>
    </row>
    <row r="34" spans="2:22" x14ac:dyDescent="0.2">
      <c r="B34" s="17" t="s">
        <v>71</v>
      </c>
      <c r="C34" t="s">
        <v>68</v>
      </c>
      <c r="D34" s="2">
        <v>0.32430555555555557</v>
      </c>
      <c r="E34" t="s">
        <v>69</v>
      </c>
      <c r="F34" s="16">
        <v>15</v>
      </c>
      <c r="G34" s="1"/>
      <c r="H34" s="6"/>
      <c r="U34" s="2">
        <f>中央線快速_東京方面_平日6[[#This Row],[発車時刻(Time)]]-$D33</f>
        <v>1.388888888888884E-3</v>
      </c>
      <c r="V34" s="4">
        <f t="shared" si="0"/>
        <v>1.9456869009584734</v>
      </c>
    </row>
    <row r="35" spans="2:22" x14ac:dyDescent="0.2">
      <c r="B35" s="17" t="s">
        <v>71</v>
      </c>
      <c r="C35" t="s">
        <v>68</v>
      </c>
      <c r="D35" s="2">
        <v>0.3263888888888889</v>
      </c>
      <c r="E35" t="s">
        <v>69</v>
      </c>
      <c r="F35" s="16">
        <v>15</v>
      </c>
      <c r="G35" s="1"/>
      <c r="H35" s="6"/>
      <c r="U35" s="2">
        <f>中央線快速_東京方面_平日6[[#This Row],[発車時刻(Time)]]-$D34</f>
        <v>2.0833333333333259E-3</v>
      </c>
      <c r="V35" s="4">
        <f t="shared" si="0"/>
        <v>1.2971246006389821</v>
      </c>
    </row>
    <row r="36" spans="2:22" x14ac:dyDescent="0.2">
      <c r="B36" s="17" t="s">
        <v>71</v>
      </c>
      <c r="C36" t="s">
        <v>68</v>
      </c>
      <c r="D36" s="2">
        <v>0.32847222222222222</v>
      </c>
      <c r="E36" t="s">
        <v>69</v>
      </c>
      <c r="F36" s="16">
        <v>15</v>
      </c>
      <c r="G36" s="1"/>
      <c r="H36" s="6"/>
      <c r="U36" s="2">
        <f>中央線快速_東京方面_平日6[[#This Row],[発車時刻(Time)]]-$D35</f>
        <v>2.0833333333333259E-3</v>
      </c>
      <c r="V36" s="4">
        <f t="shared" si="0"/>
        <v>1.2971246006389821</v>
      </c>
    </row>
    <row r="37" spans="2:22" x14ac:dyDescent="0.2">
      <c r="B37" s="17" t="s">
        <v>71</v>
      </c>
      <c r="C37" t="s">
        <v>68</v>
      </c>
      <c r="D37" s="2">
        <v>0.33055555555555555</v>
      </c>
      <c r="E37" t="s">
        <v>69</v>
      </c>
      <c r="F37" s="16">
        <v>15</v>
      </c>
      <c r="G37" s="1"/>
      <c r="H37" s="6"/>
      <c r="U37" s="2">
        <f>中央線快速_東京方面_平日6[[#This Row],[発車時刻(Time)]]-$D36</f>
        <v>2.0833333333333259E-3</v>
      </c>
      <c r="V37" s="4">
        <f t="shared" si="0"/>
        <v>1.2971246006389821</v>
      </c>
    </row>
    <row r="38" spans="2:22" x14ac:dyDescent="0.2">
      <c r="B38" s="17" t="s">
        <v>71</v>
      </c>
      <c r="C38" t="s">
        <v>68</v>
      </c>
      <c r="D38" s="2">
        <v>0.33263888888888887</v>
      </c>
      <c r="E38" t="s">
        <v>69</v>
      </c>
      <c r="F38" s="16">
        <v>15</v>
      </c>
      <c r="G38" s="1"/>
      <c r="H38" s="6"/>
      <c r="U38" s="2">
        <f>中央線快速_東京方面_平日6[[#This Row],[発車時刻(Time)]]-$D37</f>
        <v>2.0833333333333259E-3</v>
      </c>
      <c r="V38" s="4">
        <f t="shared" si="0"/>
        <v>1.2971246006389821</v>
      </c>
    </row>
    <row r="39" spans="2:22" x14ac:dyDescent="0.2">
      <c r="B39" s="17" t="s">
        <v>71</v>
      </c>
      <c r="C39" t="s">
        <v>68</v>
      </c>
      <c r="D39" s="2">
        <v>0.33402777777777781</v>
      </c>
      <c r="E39" t="s">
        <v>69</v>
      </c>
      <c r="F39" s="16">
        <v>15</v>
      </c>
      <c r="G39" s="1"/>
      <c r="H39" s="6"/>
      <c r="U39" s="2">
        <f>中央線快速_東京方面_平日6[[#This Row],[発車時刻(Time)]]-$D38</f>
        <v>1.3888888888889395E-3</v>
      </c>
      <c r="V39" s="4">
        <f t="shared" si="0"/>
        <v>1.9456869009583957</v>
      </c>
    </row>
    <row r="40" spans="2:22" x14ac:dyDescent="0.2">
      <c r="B40" s="17" t="s">
        <v>71</v>
      </c>
      <c r="C40" t="s">
        <v>68</v>
      </c>
      <c r="D40" s="2">
        <v>0.33611111111111108</v>
      </c>
      <c r="E40" t="s">
        <v>69</v>
      </c>
      <c r="F40" s="16">
        <v>15</v>
      </c>
      <c r="G40" s="1"/>
      <c r="H40" s="6"/>
      <c r="U40" s="2">
        <f>中央線快速_東京方面_平日6[[#This Row],[発車時刻(Time)]]-$D39</f>
        <v>2.0833333333332704E-3</v>
      </c>
      <c r="V40" s="4">
        <f t="shared" si="0"/>
        <v>1.2971246006390167</v>
      </c>
    </row>
    <row r="41" spans="2:22" x14ac:dyDescent="0.2">
      <c r="B41" s="17" t="s">
        <v>71</v>
      </c>
      <c r="C41" t="s">
        <v>68</v>
      </c>
      <c r="D41" s="2">
        <v>0.33819444444444446</v>
      </c>
      <c r="E41" t="s">
        <v>69</v>
      </c>
      <c r="F41" s="16">
        <v>15</v>
      </c>
      <c r="G41" s="1"/>
      <c r="H41" s="6"/>
      <c r="U41" s="2">
        <f>中央線快速_東京方面_平日6[[#This Row],[発車時刻(Time)]]-$D40</f>
        <v>2.0833333333333814E-3</v>
      </c>
      <c r="V41" s="4">
        <f t="shared" si="0"/>
        <v>1.2971246006389476</v>
      </c>
    </row>
    <row r="42" spans="2:22" x14ac:dyDescent="0.2">
      <c r="B42" s="17" t="s">
        <v>71</v>
      </c>
      <c r="C42" t="s">
        <v>68</v>
      </c>
      <c r="D42" s="2">
        <v>0.34027777777777773</v>
      </c>
      <c r="E42" t="s">
        <v>69</v>
      </c>
      <c r="F42" s="16">
        <v>15</v>
      </c>
      <c r="G42" s="1"/>
      <c r="H42" s="6"/>
      <c r="U42" s="2">
        <f>中央線快速_東京方面_平日6[[#This Row],[発車時刻(Time)]]-$D41</f>
        <v>2.0833333333332704E-3</v>
      </c>
      <c r="V42" s="4">
        <f t="shared" si="0"/>
        <v>1.2971246006390167</v>
      </c>
    </row>
    <row r="43" spans="2:22" x14ac:dyDescent="0.2">
      <c r="B43" s="17" t="s">
        <v>71</v>
      </c>
      <c r="C43" t="s">
        <v>68</v>
      </c>
      <c r="D43" s="2">
        <v>0.34166666666666662</v>
      </c>
      <c r="E43" t="s">
        <v>69</v>
      </c>
      <c r="F43" s="16">
        <v>15</v>
      </c>
      <c r="G43" s="1"/>
      <c r="H43" s="6"/>
      <c r="U43" s="2">
        <f>中央線快速_東京方面_平日6[[#This Row],[発車時刻(Time)]]-$D42</f>
        <v>1.388888888888884E-3</v>
      </c>
      <c r="V43" s="4">
        <f t="shared" si="0"/>
        <v>1.9456869009584734</v>
      </c>
    </row>
    <row r="44" spans="2:22" x14ac:dyDescent="0.2">
      <c r="B44" s="17" t="s">
        <v>71</v>
      </c>
      <c r="C44" t="s">
        <v>68</v>
      </c>
      <c r="D44" s="2">
        <v>0.34375</v>
      </c>
      <c r="E44" t="s">
        <v>69</v>
      </c>
      <c r="F44" s="16">
        <v>15</v>
      </c>
      <c r="G44" s="1"/>
      <c r="H44" s="6"/>
      <c r="U44" s="2">
        <f>中央線快速_東京方面_平日6[[#This Row],[発車時刻(Time)]]-$D43</f>
        <v>2.0833333333333814E-3</v>
      </c>
      <c r="V44" s="4">
        <f t="shared" si="0"/>
        <v>1.2971246006389476</v>
      </c>
    </row>
    <row r="45" spans="2:22" x14ac:dyDescent="0.2">
      <c r="B45" s="17" t="s">
        <v>71</v>
      </c>
      <c r="C45" t="s">
        <v>68</v>
      </c>
      <c r="D45" s="2">
        <v>0.34583333333333338</v>
      </c>
      <c r="E45" t="s">
        <v>69</v>
      </c>
      <c r="F45" s="16">
        <v>15</v>
      </c>
      <c r="G45" s="1"/>
      <c r="H45" s="6"/>
      <c r="U45" s="2">
        <f>中央線快速_東京方面_平日6[[#This Row],[発車時刻(Time)]]-$D44</f>
        <v>2.0833333333333814E-3</v>
      </c>
      <c r="V45" s="4">
        <f t="shared" si="0"/>
        <v>1.2971246006389476</v>
      </c>
    </row>
    <row r="46" spans="2:22" x14ac:dyDescent="0.2">
      <c r="B46" s="17" t="s">
        <v>71</v>
      </c>
      <c r="C46" t="s">
        <v>68</v>
      </c>
      <c r="D46" s="2">
        <v>0.34722222222222227</v>
      </c>
      <c r="E46" t="s">
        <v>69</v>
      </c>
      <c r="F46" s="16">
        <v>15</v>
      </c>
      <c r="G46" s="1"/>
      <c r="H46" s="6"/>
      <c r="U46" s="2">
        <f>中央線快速_東京方面_平日6[[#This Row],[発車時刻(Time)]]-$D45</f>
        <v>1.388888888888884E-3</v>
      </c>
      <c r="V46" s="4">
        <f t="shared" si="0"/>
        <v>1.9456869009584734</v>
      </c>
    </row>
    <row r="47" spans="2:22" x14ac:dyDescent="0.2">
      <c r="B47" s="17" t="s">
        <v>71</v>
      </c>
      <c r="C47" t="s">
        <v>68</v>
      </c>
      <c r="D47" s="2">
        <v>0.34930555555555554</v>
      </c>
      <c r="E47" t="s">
        <v>69</v>
      </c>
      <c r="F47" s="16">
        <v>15</v>
      </c>
      <c r="G47" s="1"/>
      <c r="H47" s="6"/>
      <c r="U47" s="2">
        <f>中央線快速_東京方面_平日6[[#This Row],[発車時刻(Time)]]-$D46</f>
        <v>2.0833333333332704E-3</v>
      </c>
      <c r="V47" s="4">
        <f t="shared" si="0"/>
        <v>1.2971246006390167</v>
      </c>
    </row>
    <row r="48" spans="2:22" x14ac:dyDescent="0.2">
      <c r="B48" s="17" t="s">
        <v>71</v>
      </c>
      <c r="C48" t="s">
        <v>68</v>
      </c>
      <c r="D48" s="2">
        <v>0.35138888888888892</v>
      </c>
      <c r="E48" t="s">
        <v>69</v>
      </c>
      <c r="F48" s="16">
        <v>15</v>
      </c>
      <c r="G48" s="1"/>
      <c r="H48" s="6"/>
      <c r="U48" s="2">
        <f>中央線快速_東京方面_平日6[[#This Row],[発車時刻(Time)]]-$D47</f>
        <v>2.0833333333333814E-3</v>
      </c>
      <c r="V48" s="4">
        <f t="shared" si="0"/>
        <v>1.2971246006389476</v>
      </c>
    </row>
    <row r="49" spans="2:22" x14ac:dyDescent="0.2">
      <c r="B49" s="17" t="s">
        <v>71</v>
      </c>
      <c r="C49" t="s">
        <v>68</v>
      </c>
      <c r="D49" s="2">
        <v>0.3527777777777778</v>
      </c>
      <c r="E49" t="s">
        <v>69</v>
      </c>
      <c r="F49" s="16">
        <v>15</v>
      </c>
      <c r="G49" s="1"/>
      <c r="H49" s="6"/>
      <c r="U49" s="2">
        <f>中央線快速_東京方面_平日6[[#This Row],[発車時刻(Time)]]-$D48</f>
        <v>1.388888888888884E-3</v>
      </c>
      <c r="V49" s="4">
        <f t="shared" si="0"/>
        <v>1.9456869009584734</v>
      </c>
    </row>
    <row r="50" spans="2:22" x14ac:dyDescent="0.2">
      <c r="B50" s="17" t="s">
        <v>71</v>
      </c>
      <c r="C50" t="s">
        <v>68</v>
      </c>
      <c r="D50" s="2">
        <v>0.35486111111111113</v>
      </c>
      <c r="E50" t="s">
        <v>69</v>
      </c>
      <c r="F50" s="16">
        <v>15</v>
      </c>
      <c r="G50" s="1"/>
      <c r="H50" s="6"/>
      <c r="U50" s="2">
        <f>中央線快速_東京方面_平日6[[#This Row],[発車時刻(Time)]]-$D49</f>
        <v>2.0833333333333259E-3</v>
      </c>
      <c r="V50" s="4">
        <f t="shared" si="0"/>
        <v>1.2971246006389821</v>
      </c>
    </row>
    <row r="51" spans="2:22" x14ac:dyDescent="0.2">
      <c r="B51" s="17" t="s">
        <v>71</v>
      </c>
      <c r="C51" t="s">
        <v>68</v>
      </c>
      <c r="D51" s="2">
        <v>0.35694444444444445</v>
      </c>
      <c r="E51" t="s">
        <v>69</v>
      </c>
      <c r="F51" s="16">
        <v>15</v>
      </c>
      <c r="G51" s="1"/>
      <c r="H51" s="6"/>
      <c r="U51" s="2">
        <f>中央線快速_東京方面_平日6[[#This Row],[発車時刻(Time)]]-$D50</f>
        <v>2.0833333333333259E-3</v>
      </c>
      <c r="V51" s="4">
        <f t="shared" si="0"/>
        <v>1.2971246006389821</v>
      </c>
    </row>
    <row r="52" spans="2:22" x14ac:dyDescent="0.2">
      <c r="B52" s="17" t="s">
        <v>71</v>
      </c>
      <c r="C52" t="s">
        <v>68</v>
      </c>
      <c r="D52" s="2">
        <v>0.35902777777777778</v>
      </c>
      <c r="E52" t="s">
        <v>69</v>
      </c>
      <c r="F52" s="16">
        <v>15</v>
      </c>
      <c r="G52" s="1"/>
      <c r="H52" s="6"/>
      <c r="U52" s="2">
        <f>中央線快速_東京方面_平日6[[#This Row],[発車時刻(Time)]]-$D51</f>
        <v>2.0833333333333259E-3</v>
      </c>
      <c r="V52" s="4">
        <f t="shared" si="0"/>
        <v>1.2971246006389821</v>
      </c>
    </row>
    <row r="53" spans="2:22" x14ac:dyDescent="0.2">
      <c r="B53" s="17" t="s">
        <v>71</v>
      </c>
      <c r="C53" t="s">
        <v>68</v>
      </c>
      <c r="D53" s="2">
        <v>0.36041666666666666</v>
      </c>
      <c r="E53" t="s">
        <v>69</v>
      </c>
      <c r="F53" s="16">
        <v>15</v>
      </c>
      <c r="G53" s="1"/>
      <c r="H53" s="6"/>
      <c r="U53" s="2">
        <f>中央線快速_東京方面_平日6[[#This Row],[発車時刻(Time)]]-$D52</f>
        <v>1.388888888888884E-3</v>
      </c>
      <c r="V53" s="4">
        <f t="shared" si="0"/>
        <v>1.9456869009584734</v>
      </c>
    </row>
    <row r="54" spans="2:22" x14ac:dyDescent="0.2">
      <c r="B54" s="17" t="s">
        <v>71</v>
      </c>
      <c r="C54" t="s">
        <v>68</v>
      </c>
      <c r="D54" s="2">
        <v>0.36249999999999999</v>
      </c>
      <c r="E54" t="s">
        <v>69</v>
      </c>
      <c r="F54" s="16">
        <v>15</v>
      </c>
      <c r="G54" s="1"/>
      <c r="H54" s="6"/>
      <c r="U54" s="2">
        <f>中央線快速_東京方面_平日6[[#This Row],[発車時刻(Time)]]-$D53</f>
        <v>2.0833333333333259E-3</v>
      </c>
      <c r="V54" s="4">
        <f t="shared" si="0"/>
        <v>1.2971246006389821</v>
      </c>
    </row>
    <row r="55" spans="2:22" x14ac:dyDescent="0.2">
      <c r="B55" s="17" t="s">
        <v>71</v>
      </c>
      <c r="C55" t="s">
        <v>68</v>
      </c>
      <c r="D55" s="2">
        <v>0.36458333333333331</v>
      </c>
      <c r="E55" t="s">
        <v>69</v>
      </c>
      <c r="F55" s="16">
        <v>15</v>
      </c>
      <c r="G55" s="1"/>
      <c r="H55" s="6"/>
      <c r="U55" s="2">
        <f>中央線快速_東京方面_平日6[[#This Row],[発車時刻(Time)]]-$D54</f>
        <v>2.0833333333333259E-3</v>
      </c>
      <c r="V55" s="4">
        <f t="shared" si="0"/>
        <v>1.2971246006389821</v>
      </c>
    </row>
    <row r="56" spans="2:22" x14ac:dyDescent="0.2">
      <c r="B56" s="17" t="s">
        <v>71</v>
      </c>
      <c r="C56" t="s">
        <v>68</v>
      </c>
      <c r="D56" s="2">
        <v>0.3666666666666667</v>
      </c>
      <c r="E56" t="s">
        <v>69</v>
      </c>
      <c r="F56" s="16">
        <v>15</v>
      </c>
      <c r="G56" s="1"/>
      <c r="H56" s="6"/>
      <c r="U56" s="2">
        <f>中央線快速_東京方面_平日6[[#This Row],[発車時刻(Time)]]-$D55</f>
        <v>2.0833333333333814E-3</v>
      </c>
      <c r="V56" s="4">
        <f t="shared" si="0"/>
        <v>1.2971246006389476</v>
      </c>
    </row>
    <row r="57" spans="2:22" x14ac:dyDescent="0.2">
      <c r="B57" s="17" t="s">
        <v>71</v>
      </c>
      <c r="C57" t="s">
        <v>68</v>
      </c>
      <c r="D57" s="2">
        <v>0.36805555555555558</v>
      </c>
      <c r="E57" t="s">
        <v>69</v>
      </c>
      <c r="F57" s="16">
        <v>15</v>
      </c>
      <c r="G57" s="1"/>
      <c r="H57" s="6"/>
      <c r="U57" s="2">
        <f>中央線快速_東京方面_平日6[[#This Row],[発車時刻(Time)]]-$D56</f>
        <v>1.388888888888884E-3</v>
      </c>
      <c r="V57" s="4">
        <f t="shared" si="0"/>
        <v>1.9456869009584734</v>
      </c>
    </row>
    <row r="58" spans="2:22" x14ac:dyDescent="0.2">
      <c r="B58" s="17" t="s">
        <v>71</v>
      </c>
      <c r="C58" t="s">
        <v>68</v>
      </c>
      <c r="D58" s="2">
        <v>0.37013888888888885</v>
      </c>
      <c r="E58" t="s">
        <v>69</v>
      </c>
      <c r="F58" s="16">
        <v>15</v>
      </c>
      <c r="G58" s="1"/>
      <c r="H58" s="6"/>
      <c r="U58" s="2">
        <f>中央線快速_東京方面_平日6[[#This Row],[発車時刻(Time)]]-$D57</f>
        <v>2.0833333333332704E-3</v>
      </c>
      <c r="V58" s="4">
        <f t="shared" si="0"/>
        <v>1.2971246006390167</v>
      </c>
    </row>
    <row r="59" spans="2:22" x14ac:dyDescent="0.2">
      <c r="B59" s="17" t="s">
        <v>71</v>
      </c>
      <c r="C59" t="s">
        <v>68</v>
      </c>
      <c r="D59" s="2">
        <v>0.37222222222222223</v>
      </c>
      <c r="E59" t="s">
        <v>69</v>
      </c>
      <c r="F59" s="16">
        <v>15</v>
      </c>
      <c r="G59" s="1"/>
      <c r="H59" s="6"/>
      <c r="U59" s="2">
        <f>中央線快速_東京方面_平日6[[#This Row],[発車時刻(Time)]]-$D58</f>
        <v>2.0833333333333814E-3</v>
      </c>
      <c r="V59" s="4">
        <f t="shared" si="0"/>
        <v>1.2971246006389476</v>
      </c>
    </row>
    <row r="60" spans="2:22" x14ac:dyDescent="0.2">
      <c r="B60" s="17" t="s">
        <v>71</v>
      </c>
      <c r="C60" t="s">
        <v>68</v>
      </c>
      <c r="D60" s="2">
        <v>0.3743055555555555</v>
      </c>
      <c r="E60" t="s">
        <v>69</v>
      </c>
      <c r="F60" s="16">
        <v>15</v>
      </c>
      <c r="G60" s="1"/>
      <c r="H60" s="6"/>
      <c r="U60" s="2">
        <f>中央線快速_東京方面_平日6[[#This Row],[発車時刻(Time)]]-$D59</f>
        <v>2.0833333333332704E-3</v>
      </c>
      <c r="V60" s="4">
        <f t="shared" si="0"/>
        <v>1.2971246006390167</v>
      </c>
    </row>
    <row r="61" spans="2:22" x14ac:dyDescent="0.2">
      <c r="B61" s="17" t="s">
        <v>71</v>
      </c>
      <c r="C61" t="s">
        <v>68</v>
      </c>
      <c r="D61" s="2">
        <v>0.3756944444444445</v>
      </c>
      <c r="E61" t="s">
        <v>69</v>
      </c>
      <c r="F61" s="16">
        <v>15</v>
      </c>
      <c r="G61" s="1"/>
      <c r="H61" s="6"/>
      <c r="U61" s="2">
        <f>中央線快速_東京方面_平日6[[#This Row],[発車時刻(Time)]]-$D60</f>
        <v>1.388888888888995E-3</v>
      </c>
      <c r="V61" s="4">
        <f t="shared" si="0"/>
        <v>1.945686900958318</v>
      </c>
    </row>
    <row r="62" spans="2:22" x14ac:dyDescent="0.2">
      <c r="B62" s="17" t="s">
        <v>71</v>
      </c>
      <c r="C62" t="s">
        <v>68</v>
      </c>
      <c r="D62" s="2">
        <v>0.37777777777777777</v>
      </c>
      <c r="E62" t="s">
        <v>69</v>
      </c>
      <c r="F62" s="16">
        <v>15</v>
      </c>
      <c r="G62" s="1"/>
      <c r="H62" s="6"/>
      <c r="U62" s="2">
        <f>中央線快速_東京方面_平日6[[#This Row],[発車時刻(Time)]]-$D61</f>
        <v>2.0833333333332704E-3</v>
      </c>
      <c r="V62" s="4">
        <f t="shared" si="0"/>
        <v>1.2971246006390167</v>
      </c>
    </row>
    <row r="63" spans="2:22" x14ac:dyDescent="0.2">
      <c r="B63" s="17" t="s">
        <v>71</v>
      </c>
      <c r="C63" t="s">
        <v>68</v>
      </c>
      <c r="D63" s="2">
        <v>0.37986111111111115</v>
      </c>
      <c r="E63" t="s">
        <v>69</v>
      </c>
      <c r="F63" s="16">
        <v>15</v>
      </c>
      <c r="G63" s="1"/>
      <c r="H63" s="6"/>
      <c r="U63" s="2">
        <f>中央線快速_東京方面_平日6[[#This Row],[発車時刻(Time)]]-$D62</f>
        <v>2.0833333333333814E-3</v>
      </c>
      <c r="V63" s="4">
        <f t="shared" si="0"/>
        <v>1.2971246006389476</v>
      </c>
    </row>
    <row r="64" spans="2:22" x14ac:dyDescent="0.2">
      <c r="B64" s="17" t="s">
        <v>71</v>
      </c>
      <c r="C64" t="s">
        <v>68</v>
      </c>
      <c r="D64" s="2">
        <v>0.38194444444444442</v>
      </c>
      <c r="E64" t="s">
        <v>69</v>
      </c>
      <c r="F64" s="16">
        <v>15</v>
      </c>
      <c r="G64" s="1"/>
      <c r="H64" s="6"/>
      <c r="U64" s="2">
        <f>中央線快速_東京方面_平日6[[#This Row],[発車時刻(Time)]]-$D63</f>
        <v>2.0833333333332704E-3</v>
      </c>
      <c r="V64" s="4">
        <f t="shared" si="0"/>
        <v>1.2971246006390167</v>
      </c>
    </row>
    <row r="65" spans="2:22" x14ac:dyDescent="0.2">
      <c r="B65" s="17" t="s">
        <v>71</v>
      </c>
      <c r="C65" t="s">
        <v>68</v>
      </c>
      <c r="D65" s="2">
        <v>0.3840277777777778</v>
      </c>
      <c r="E65" t="s">
        <v>69</v>
      </c>
      <c r="F65" s="16">
        <v>15</v>
      </c>
      <c r="G65" s="1"/>
      <c r="H65" s="6"/>
      <c r="U65" s="2">
        <f>中央線快速_東京方面_平日6[[#This Row],[発車時刻(Time)]]-$D64</f>
        <v>2.0833333333333814E-3</v>
      </c>
      <c r="V65" s="4">
        <f t="shared" si="0"/>
        <v>1.2971246006389476</v>
      </c>
    </row>
    <row r="66" spans="2:22" x14ac:dyDescent="0.2">
      <c r="B66" s="17" t="s">
        <v>71</v>
      </c>
      <c r="C66" t="s">
        <v>68</v>
      </c>
      <c r="D66" s="2">
        <v>0.38541666666666669</v>
      </c>
      <c r="E66" t="s">
        <v>69</v>
      </c>
      <c r="F66" s="16">
        <v>15</v>
      </c>
      <c r="G66" s="1"/>
      <c r="H66" s="6"/>
      <c r="U66" s="2">
        <f>中央線快速_東京方面_平日6[[#This Row],[発車時刻(Time)]]-$D65</f>
        <v>1.388888888888884E-3</v>
      </c>
      <c r="V66" s="4">
        <f t="shared" si="0"/>
        <v>1.9456869009584734</v>
      </c>
    </row>
    <row r="67" spans="2:22" x14ac:dyDescent="0.2">
      <c r="B67" s="17" t="s">
        <v>71</v>
      </c>
      <c r="C67" t="s">
        <v>68</v>
      </c>
      <c r="D67" s="2">
        <v>0.38750000000000001</v>
      </c>
      <c r="E67" t="s">
        <v>69</v>
      </c>
      <c r="F67" s="16">
        <v>15</v>
      </c>
      <c r="G67" s="1"/>
      <c r="H67" s="6"/>
      <c r="U67" s="2">
        <f>中央線快速_東京方面_平日6[[#This Row],[発車時刻(Time)]]-$D66</f>
        <v>2.0833333333333259E-3</v>
      </c>
      <c r="V67" s="4">
        <f t="shared" si="0"/>
        <v>1.2971246006389821</v>
      </c>
    </row>
    <row r="68" spans="2:22" x14ac:dyDescent="0.2">
      <c r="B68" s="17" t="s">
        <v>71</v>
      </c>
      <c r="C68" t="s">
        <v>68</v>
      </c>
      <c r="D68" s="2">
        <v>0.38958333333333334</v>
      </c>
      <c r="E68" t="s">
        <v>69</v>
      </c>
      <c r="F68" s="16">
        <v>15</v>
      </c>
      <c r="G68" s="1"/>
      <c r="H68" s="6"/>
      <c r="U68" s="2">
        <f>中央線快速_東京方面_平日6[[#This Row],[発車時刻(Time)]]-$D67</f>
        <v>2.0833333333333259E-3</v>
      </c>
      <c r="V68" s="4">
        <f t="shared" ref="V68:V131" si="1">IFERROR((1/(U68/$K$2)), 0)</f>
        <v>1.2971246006389821</v>
      </c>
    </row>
    <row r="69" spans="2:22" x14ac:dyDescent="0.2">
      <c r="B69" s="17" t="s">
        <v>71</v>
      </c>
      <c r="C69" t="s">
        <v>68</v>
      </c>
      <c r="D69" s="2">
        <v>0.39097222222222222</v>
      </c>
      <c r="E69" t="s">
        <v>69</v>
      </c>
      <c r="F69" s="16">
        <v>15</v>
      </c>
      <c r="G69" s="1"/>
      <c r="H69" s="6"/>
      <c r="U69" s="2">
        <f>中央線快速_東京方面_平日6[[#This Row],[発車時刻(Time)]]-$D68</f>
        <v>1.388888888888884E-3</v>
      </c>
      <c r="V69" s="4">
        <f t="shared" si="1"/>
        <v>1.9456869009584734</v>
      </c>
    </row>
    <row r="70" spans="2:22" x14ac:dyDescent="0.2">
      <c r="B70" s="17" t="s">
        <v>71</v>
      </c>
      <c r="C70" t="s">
        <v>68</v>
      </c>
      <c r="D70" s="2">
        <v>0.39305555555555555</v>
      </c>
      <c r="E70" t="s">
        <v>69</v>
      </c>
      <c r="F70" s="16">
        <v>15</v>
      </c>
      <c r="G70" s="1"/>
      <c r="H70" s="6"/>
      <c r="U70" s="2">
        <f>中央線快速_東京方面_平日6[[#This Row],[発車時刻(Time)]]-$D69</f>
        <v>2.0833333333333259E-3</v>
      </c>
      <c r="V70" s="4">
        <f t="shared" si="1"/>
        <v>1.2971246006389821</v>
      </c>
    </row>
    <row r="71" spans="2:22" x14ac:dyDescent="0.2">
      <c r="B71" s="17" t="s">
        <v>71</v>
      </c>
      <c r="C71" t="s">
        <v>68</v>
      </c>
      <c r="D71" s="2">
        <v>0.39513888888888887</v>
      </c>
      <c r="E71" t="s">
        <v>69</v>
      </c>
      <c r="F71" s="16">
        <v>15</v>
      </c>
      <c r="G71" s="1"/>
      <c r="H71" s="6"/>
      <c r="U71" s="2">
        <f>中央線快速_東京方面_平日6[[#This Row],[発車時刻(Time)]]-$D70</f>
        <v>2.0833333333333259E-3</v>
      </c>
      <c r="V71" s="4">
        <f t="shared" si="1"/>
        <v>1.2971246006389821</v>
      </c>
    </row>
    <row r="72" spans="2:22" x14ac:dyDescent="0.2">
      <c r="B72" s="17" t="s">
        <v>71</v>
      </c>
      <c r="C72" t="s">
        <v>68</v>
      </c>
      <c r="D72" s="2">
        <v>0.39652777777777781</v>
      </c>
      <c r="E72" t="s">
        <v>69</v>
      </c>
      <c r="F72" s="16">
        <v>15</v>
      </c>
      <c r="G72" s="1"/>
      <c r="H72" s="6"/>
      <c r="U72" s="2">
        <f>中央線快速_東京方面_平日6[[#This Row],[発車時刻(Time)]]-$D71</f>
        <v>1.3888888888889395E-3</v>
      </c>
      <c r="V72" s="4">
        <f t="shared" si="1"/>
        <v>1.9456869009583957</v>
      </c>
    </row>
    <row r="73" spans="2:22" x14ac:dyDescent="0.2">
      <c r="B73" s="17" t="s">
        <v>71</v>
      </c>
      <c r="C73" t="s">
        <v>68</v>
      </c>
      <c r="D73" s="2">
        <v>0.39861111111111108</v>
      </c>
      <c r="E73" t="s">
        <v>69</v>
      </c>
      <c r="F73" s="16">
        <v>15</v>
      </c>
      <c r="G73" s="1"/>
      <c r="H73" s="6"/>
      <c r="U73" s="2">
        <f>中央線快速_東京方面_平日6[[#This Row],[発車時刻(Time)]]-$D72</f>
        <v>2.0833333333332704E-3</v>
      </c>
      <c r="V73" s="4">
        <f t="shared" si="1"/>
        <v>1.2971246006390167</v>
      </c>
    </row>
    <row r="74" spans="2:22" x14ac:dyDescent="0.2">
      <c r="B74" s="17" t="s">
        <v>71</v>
      </c>
      <c r="C74" t="s">
        <v>68</v>
      </c>
      <c r="D74" s="2">
        <v>0.40069444444444446</v>
      </c>
      <c r="E74" t="s">
        <v>69</v>
      </c>
      <c r="F74" s="16">
        <v>15</v>
      </c>
      <c r="G74" s="1"/>
      <c r="H74" s="6"/>
      <c r="U74" s="2">
        <f>中央線快速_東京方面_平日6[[#This Row],[発車時刻(Time)]]-$D73</f>
        <v>2.0833333333333814E-3</v>
      </c>
      <c r="V74" s="4">
        <f t="shared" si="1"/>
        <v>1.2971246006389476</v>
      </c>
    </row>
    <row r="75" spans="2:22" x14ac:dyDescent="0.2">
      <c r="B75" s="17" t="s">
        <v>71</v>
      </c>
      <c r="C75" t="s">
        <v>68</v>
      </c>
      <c r="D75" s="2">
        <v>0.40208333333333335</v>
      </c>
      <c r="E75" t="s">
        <v>69</v>
      </c>
      <c r="F75" s="16">
        <v>15</v>
      </c>
      <c r="G75" s="1"/>
      <c r="H75" s="6"/>
      <c r="U75" s="2">
        <f>中央線快速_東京方面_平日6[[#This Row],[発車時刻(Time)]]-$D74</f>
        <v>1.388888888888884E-3</v>
      </c>
      <c r="V75" s="4">
        <f t="shared" si="1"/>
        <v>1.9456869009584734</v>
      </c>
    </row>
    <row r="76" spans="2:22" x14ac:dyDescent="0.2">
      <c r="B76" s="17" t="s">
        <v>71</v>
      </c>
      <c r="C76" t="s">
        <v>68</v>
      </c>
      <c r="D76" s="2">
        <v>0.40486111111111112</v>
      </c>
      <c r="E76" t="s">
        <v>69</v>
      </c>
      <c r="F76" s="16">
        <v>15</v>
      </c>
      <c r="G76" s="1"/>
      <c r="H76" s="6"/>
      <c r="U76" s="2">
        <f>中央線快速_東京方面_平日6[[#This Row],[発車時刻(Time)]]-$D75</f>
        <v>2.7777777777777679E-3</v>
      </c>
      <c r="V76" s="4">
        <f t="shared" si="1"/>
        <v>0.9728434504792367</v>
      </c>
    </row>
    <row r="77" spans="2:22" x14ac:dyDescent="0.2">
      <c r="B77" s="17" t="s">
        <v>71</v>
      </c>
      <c r="C77" t="s">
        <v>68</v>
      </c>
      <c r="D77" s="2">
        <v>0.40625</v>
      </c>
      <c r="E77" t="s">
        <v>69</v>
      </c>
      <c r="F77" s="16">
        <v>15</v>
      </c>
      <c r="G77" s="1"/>
      <c r="H77" s="6"/>
      <c r="U77" s="2">
        <f>中央線快速_東京方面_平日6[[#This Row],[発車時刻(Time)]]-$D76</f>
        <v>1.388888888888884E-3</v>
      </c>
      <c r="V77" s="4">
        <f t="shared" si="1"/>
        <v>1.9456869009584734</v>
      </c>
    </row>
    <row r="78" spans="2:22" x14ac:dyDescent="0.2">
      <c r="B78" s="17" t="s">
        <v>71</v>
      </c>
      <c r="C78" t="s">
        <v>68</v>
      </c>
      <c r="D78" s="2">
        <v>0.40833333333333338</v>
      </c>
      <c r="E78" t="s">
        <v>69</v>
      </c>
      <c r="F78" s="16">
        <v>15</v>
      </c>
      <c r="G78" s="1"/>
      <c r="H78" s="6"/>
      <c r="U78" s="2">
        <f>中央線快速_東京方面_平日6[[#This Row],[発車時刻(Time)]]-$D77</f>
        <v>2.0833333333333814E-3</v>
      </c>
      <c r="V78" s="4">
        <f t="shared" si="1"/>
        <v>1.2971246006389476</v>
      </c>
    </row>
    <row r="79" spans="2:22" x14ac:dyDescent="0.2">
      <c r="B79" s="17" t="s">
        <v>71</v>
      </c>
      <c r="C79" t="s">
        <v>68</v>
      </c>
      <c r="D79" s="2">
        <v>0.41041666666666665</v>
      </c>
      <c r="E79" t="s">
        <v>69</v>
      </c>
      <c r="F79" s="16">
        <v>15</v>
      </c>
      <c r="G79" s="1"/>
      <c r="H79" s="6"/>
      <c r="U79" s="2">
        <f>中央線快速_東京方面_平日6[[#This Row],[発車時刻(Time)]]-$D78</f>
        <v>2.0833333333332704E-3</v>
      </c>
      <c r="V79" s="4">
        <f t="shared" si="1"/>
        <v>1.2971246006390167</v>
      </c>
    </row>
    <row r="80" spans="2:22" x14ac:dyDescent="0.2">
      <c r="B80" s="17" t="s">
        <v>71</v>
      </c>
      <c r="C80" t="s">
        <v>68</v>
      </c>
      <c r="D80" s="2">
        <v>0.41250000000000003</v>
      </c>
      <c r="E80" t="s">
        <v>69</v>
      </c>
      <c r="F80" s="16">
        <v>15</v>
      </c>
      <c r="G80" s="1"/>
      <c r="H80" s="6"/>
      <c r="U80" s="2">
        <f>中央線快速_東京方面_平日6[[#This Row],[発車時刻(Time)]]-$D79</f>
        <v>2.0833333333333814E-3</v>
      </c>
      <c r="V80" s="4">
        <f t="shared" si="1"/>
        <v>1.2971246006389476</v>
      </c>
    </row>
    <row r="81" spans="2:22" x14ac:dyDescent="0.2">
      <c r="B81" s="17" t="s">
        <v>71</v>
      </c>
      <c r="C81" t="s">
        <v>68</v>
      </c>
      <c r="D81" s="2">
        <v>0.4145833333333333</v>
      </c>
      <c r="E81" t="s">
        <v>69</v>
      </c>
      <c r="F81" s="16">
        <v>15</v>
      </c>
      <c r="G81" s="1"/>
      <c r="H81" s="6"/>
      <c r="U81" s="2">
        <f>中央線快速_東京方面_平日6[[#This Row],[発車時刻(Time)]]-$D80</f>
        <v>2.0833333333332704E-3</v>
      </c>
      <c r="V81" s="4">
        <f t="shared" si="1"/>
        <v>1.2971246006390167</v>
      </c>
    </row>
    <row r="82" spans="2:22" x14ac:dyDescent="0.2">
      <c r="B82" s="17" t="s">
        <v>71</v>
      </c>
      <c r="C82" t="s">
        <v>68</v>
      </c>
      <c r="D82" s="2">
        <v>0.41597222222222219</v>
      </c>
      <c r="E82" t="s">
        <v>69</v>
      </c>
      <c r="F82" s="16">
        <v>15</v>
      </c>
      <c r="G82" s="1"/>
      <c r="H82" s="6"/>
      <c r="U82" s="2">
        <f>中央線快速_東京方面_平日6[[#This Row],[発車時刻(Time)]]-$D81</f>
        <v>1.388888888888884E-3</v>
      </c>
      <c r="V82" s="4">
        <f t="shared" si="1"/>
        <v>1.9456869009584734</v>
      </c>
    </row>
    <row r="83" spans="2:22" x14ac:dyDescent="0.2">
      <c r="B83" s="17" t="s">
        <v>71</v>
      </c>
      <c r="C83" t="s">
        <v>68</v>
      </c>
      <c r="D83" s="2">
        <v>0.41805555555555557</v>
      </c>
      <c r="E83" t="s">
        <v>69</v>
      </c>
      <c r="F83" s="16">
        <v>15</v>
      </c>
      <c r="G83" s="1"/>
      <c r="H83" s="6"/>
      <c r="U83" s="2">
        <f>中央線快速_東京方面_平日6[[#This Row],[発車時刻(Time)]]-$D82</f>
        <v>2.0833333333333814E-3</v>
      </c>
      <c r="V83" s="4">
        <f t="shared" si="1"/>
        <v>1.2971246006389476</v>
      </c>
    </row>
    <row r="84" spans="2:22" x14ac:dyDescent="0.2">
      <c r="B84" s="17" t="s">
        <v>71</v>
      </c>
      <c r="C84" t="s">
        <v>68</v>
      </c>
      <c r="D84" s="2">
        <v>0.4201388888888889</v>
      </c>
      <c r="E84" t="s">
        <v>69</v>
      </c>
      <c r="F84" s="16">
        <v>15</v>
      </c>
      <c r="G84" s="1"/>
      <c r="H84" s="6"/>
      <c r="U84" s="2">
        <f>中央線快速_東京方面_平日6[[#This Row],[発車時刻(Time)]]-$D83</f>
        <v>2.0833333333333259E-3</v>
      </c>
      <c r="V84" s="4">
        <f t="shared" si="1"/>
        <v>1.2971246006389821</v>
      </c>
    </row>
    <row r="85" spans="2:22" x14ac:dyDescent="0.2">
      <c r="B85" s="17" t="s">
        <v>71</v>
      </c>
      <c r="C85" t="s">
        <v>68</v>
      </c>
      <c r="D85" s="2">
        <v>0.42152777777777778</v>
      </c>
      <c r="E85" t="s">
        <v>69</v>
      </c>
      <c r="F85" s="16">
        <v>15</v>
      </c>
      <c r="G85" s="1"/>
      <c r="H85" s="6"/>
      <c r="U85" s="2">
        <f>中央線快速_東京方面_平日6[[#This Row],[発車時刻(Time)]]-$D84</f>
        <v>1.388888888888884E-3</v>
      </c>
      <c r="V85" s="4">
        <f t="shared" si="1"/>
        <v>1.9456869009584734</v>
      </c>
    </row>
    <row r="86" spans="2:22" x14ac:dyDescent="0.2">
      <c r="B86" s="17" t="s">
        <v>71</v>
      </c>
      <c r="C86" t="s">
        <v>68</v>
      </c>
      <c r="D86" s="2">
        <v>0.42430555555555555</v>
      </c>
      <c r="E86" t="s">
        <v>69</v>
      </c>
      <c r="F86" s="16">
        <v>15</v>
      </c>
      <c r="G86" s="1"/>
      <c r="H86" s="6"/>
      <c r="U86" s="2">
        <f>中央線快速_東京方面_平日6[[#This Row],[発車時刻(Time)]]-$D85</f>
        <v>2.7777777777777679E-3</v>
      </c>
      <c r="V86" s="4">
        <f t="shared" si="1"/>
        <v>0.9728434504792367</v>
      </c>
    </row>
    <row r="87" spans="2:22" x14ac:dyDescent="0.2">
      <c r="B87" s="17" t="s">
        <v>71</v>
      </c>
      <c r="C87" t="s">
        <v>68</v>
      </c>
      <c r="D87" s="2">
        <v>0.42638888888888887</v>
      </c>
      <c r="E87" t="s">
        <v>69</v>
      </c>
      <c r="F87" s="16">
        <v>15</v>
      </c>
      <c r="G87" s="1"/>
      <c r="H87" s="6"/>
      <c r="U87" s="2">
        <f>中央線快速_東京方面_平日6[[#This Row],[発車時刻(Time)]]-$D86</f>
        <v>2.0833333333333259E-3</v>
      </c>
      <c r="V87" s="4">
        <f t="shared" si="1"/>
        <v>1.2971246006389821</v>
      </c>
    </row>
    <row r="88" spans="2:22" x14ac:dyDescent="0.2">
      <c r="B88" s="17" t="s">
        <v>71</v>
      </c>
      <c r="C88" t="s">
        <v>68</v>
      </c>
      <c r="D88" s="2">
        <v>0.4284722222222222</v>
      </c>
      <c r="E88" t="s">
        <v>69</v>
      </c>
      <c r="F88" s="16">
        <v>15</v>
      </c>
      <c r="G88" s="1"/>
      <c r="H88" s="6"/>
      <c r="U88" s="2">
        <f>中央線快速_東京方面_平日6[[#This Row],[発車時刻(Time)]]-$D87</f>
        <v>2.0833333333333259E-3</v>
      </c>
      <c r="V88" s="4">
        <f t="shared" si="1"/>
        <v>1.2971246006389821</v>
      </c>
    </row>
    <row r="89" spans="2:22" x14ac:dyDescent="0.2">
      <c r="B89" s="17" t="s">
        <v>71</v>
      </c>
      <c r="C89" t="s">
        <v>68</v>
      </c>
      <c r="D89" s="2">
        <v>0.43055555555555558</v>
      </c>
      <c r="E89" t="s">
        <v>69</v>
      </c>
      <c r="F89" s="16">
        <v>15</v>
      </c>
      <c r="G89" s="1"/>
      <c r="H89" s="6"/>
      <c r="U89" s="2">
        <f>中央線快速_東京方面_平日6[[#This Row],[発車時刻(Time)]]-$D88</f>
        <v>2.0833333333333814E-3</v>
      </c>
      <c r="V89" s="4">
        <f t="shared" si="1"/>
        <v>1.2971246006389476</v>
      </c>
    </row>
    <row r="90" spans="2:22" x14ac:dyDescent="0.2">
      <c r="B90" s="17" t="s">
        <v>71</v>
      </c>
      <c r="C90" t="s">
        <v>68</v>
      </c>
      <c r="D90" s="2">
        <v>0.43333333333333335</v>
      </c>
      <c r="E90" t="s">
        <v>69</v>
      </c>
      <c r="F90" s="16">
        <v>15</v>
      </c>
      <c r="G90" s="1"/>
      <c r="H90" s="6"/>
      <c r="U90" s="2">
        <f>中央線快速_東京方面_平日6[[#This Row],[発車時刻(Time)]]-$D89</f>
        <v>2.7777777777777679E-3</v>
      </c>
      <c r="V90" s="4">
        <f t="shared" si="1"/>
        <v>0.9728434504792367</v>
      </c>
    </row>
    <row r="91" spans="2:22" x14ac:dyDescent="0.2">
      <c r="B91" s="17" t="s">
        <v>71</v>
      </c>
      <c r="C91" t="s">
        <v>68</v>
      </c>
      <c r="D91" s="2">
        <v>0.43611111111111112</v>
      </c>
      <c r="E91" t="s">
        <v>69</v>
      </c>
      <c r="F91" s="16">
        <v>15</v>
      </c>
      <c r="G91" s="1"/>
      <c r="H91" s="6"/>
      <c r="U91" s="2">
        <f>中央線快速_東京方面_平日6[[#This Row],[発車時刻(Time)]]-$D90</f>
        <v>2.7777777777777679E-3</v>
      </c>
      <c r="V91" s="4">
        <f t="shared" si="1"/>
        <v>0.9728434504792367</v>
      </c>
    </row>
    <row r="92" spans="2:22" x14ac:dyDescent="0.2">
      <c r="B92" s="17" t="s">
        <v>71</v>
      </c>
      <c r="C92" t="s">
        <v>68</v>
      </c>
      <c r="D92" s="2">
        <v>0.4381944444444445</v>
      </c>
      <c r="E92" t="s">
        <v>69</v>
      </c>
      <c r="F92" s="16">
        <v>15</v>
      </c>
      <c r="G92" s="1"/>
      <c r="H92" s="6"/>
      <c r="U92" s="2">
        <f>中央線快速_東京方面_平日6[[#This Row],[発車時刻(Time)]]-$D91</f>
        <v>2.0833333333333814E-3</v>
      </c>
      <c r="V92" s="4">
        <f t="shared" si="1"/>
        <v>1.2971246006389476</v>
      </c>
    </row>
    <row r="93" spans="2:22" x14ac:dyDescent="0.2">
      <c r="B93" s="17" t="s">
        <v>71</v>
      </c>
      <c r="C93" t="s">
        <v>68</v>
      </c>
      <c r="D93" s="2">
        <v>0.44027777777777777</v>
      </c>
      <c r="E93" t="s">
        <v>69</v>
      </c>
      <c r="F93" s="16">
        <v>15</v>
      </c>
      <c r="G93" s="1"/>
      <c r="H93" s="6"/>
      <c r="U93" s="2">
        <f>中央線快速_東京方面_平日6[[#This Row],[発車時刻(Time)]]-$D92</f>
        <v>2.0833333333332704E-3</v>
      </c>
      <c r="V93" s="4">
        <f t="shared" si="1"/>
        <v>1.2971246006390167</v>
      </c>
    </row>
    <row r="94" spans="2:22" x14ac:dyDescent="0.2">
      <c r="B94" s="17" t="s">
        <v>71</v>
      </c>
      <c r="C94" t="s">
        <v>68</v>
      </c>
      <c r="D94" s="2">
        <v>0.44305555555555554</v>
      </c>
      <c r="E94" t="s">
        <v>69</v>
      </c>
      <c r="F94" s="16">
        <v>15</v>
      </c>
      <c r="G94" s="1"/>
      <c r="H94" s="6"/>
      <c r="U94" s="2">
        <f>中央線快速_東京方面_平日6[[#This Row],[発車時刻(Time)]]-$D93</f>
        <v>2.7777777777777679E-3</v>
      </c>
      <c r="V94" s="4">
        <f t="shared" si="1"/>
        <v>0.9728434504792367</v>
      </c>
    </row>
    <row r="95" spans="2:22" x14ac:dyDescent="0.2">
      <c r="B95" s="17" t="s">
        <v>71</v>
      </c>
      <c r="C95" t="s">
        <v>68</v>
      </c>
      <c r="D95" s="2">
        <v>0.44513888888888892</v>
      </c>
      <c r="E95" t="s">
        <v>69</v>
      </c>
      <c r="F95" s="16">
        <v>15</v>
      </c>
      <c r="G95" s="1"/>
      <c r="H95" s="6"/>
      <c r="U95" s="2">
        <f>中央線快速_東京方面_平日6[[#This Row],[発車時刻(Time)]]-$D94</f>
        <v>2.0833333333333814E-3</v>
      </c>
      <c r="V95" s="4">
        <f t="shared" si="1"/>
        <v>1.2971246006389476</v>
      </c>
    </row>
    <row r="96" spans="2:22" x14ac:dyDescent="0.2">
      <c r="B96" s="17" t="s">
        <v>71</v>
      </c>
      <c r="C96" t="s">
        <v>68</v>
      </c>
      <c r="D96" s="2">
        <v>0.4465277777777778</v>
      </c>
      <c r="E96" t="s">
        <v>69</v>
      </c>
      <c r="F96" s="16">
        <v>15</v>
      </c>
      <c r="G96" s="1"/>
      <c r="H96" s="6"/>
      <c r="U96" s="2">
        <f>中央線快速_東京方面_平日6[[#This Row],[発車時刻(Time)]]-$D95</f>
        <v>1.388888888888884E-3</v>
      </c>
      <c r="V96" s="4">
        <f t="shared" si="1"/>
        <v>1.9456869009584734</v>
      </c>
    </row>
    <row r="97" spans="2:22" x14ac:dyDescent="0.2">
      <c r="B97" s="17" t="s">
        <v>71</v>
      </c>
      <c r="C97" t="s">
        <v>68</v>
      </c>
      <c r="D97" s="2">
        <v>0.44930555555555557</v>
      </c>
      <c r="E97" t="s">
        <v>69</v>
      </c>
      <c r="F97" s="16">
        <v>15</v>
      </c>
      <c r="G97" s="1"/>
      <c r="H97" s="6"/>
      <c r="U97" s="2">
        <f>中央線快速_東京方面_平日6[[#This Row],[発車時刻(Time)]]-$D96</f>
        <v>2.7777777777777679E-3</v>
      </c>
      <c r="V97" s="4">
        <f t="shared" si="1"/>
        <v>0.9728434504792367</v>
      </c>
    </row>
    <row r="98" spans="2:22" x14ac:dyDescent="0.2">
      <c r="B98" s="17" t="s">
        <v>71</v>
      </c>
      <c r="C98" t="s">
        <v>68</v>
      </c>
      <c r="D98" s="2">
        <v>0.45277777777777778</v>
      </c>
      <c r="E98" t="s">
        <v>69</v>
      </c>
      <c r="F98" s="16">
        <v>15</v>
      </c>
      <c r="G98" s="1"/>
      <c r="H98" s="6"/>
      <c r="U98" s="2">
        <f>中央線快速_東京方面_平日6[[#This Row],[発車時刻(Time)]]-$D97</f>
        <v>3.4722222222222099E-3</v>
      </c>
      <c r="V98" s="4">
        <f t="shared" si="1"/>
        <v>0.77827476038338927</v>
      </c>
    </row>
    <row r="99" spans="2:22" x14ac:dyDescent="0.2">
      <c r="B99" s="17" t="s">
        <v>71</v>
      </c>
      <c r="C99" t="s">
        <v>68</v>
      </c>
      <c r="D99" s="2">
        <v>0.45555555555555555</v>
      </c>
      <c r="E99" t="s">
        <v>69</v>
      </c>
      <c r="F99" s="16">
        <v>15</v>
      </c>
      <c r="G99" s="1"/>
      <c r="H99" s="6"/>
      <c r="U99" s="2">
        <f>中央線快速_東京方面_平日6[[#This Row],[発車時刻(Time)]]-$D98</f>
        <v>2.7777777777777679E-3</v>
      </c>
      <c r="V99" s="4">
        <f t="shared" si="1"/>
        <v>0.9728434504792367</v>
      </c>
    </row>
    <row r="100" spans="2:22" x14ac:dyDescent="0.2">
      <c r="B100" s="17" t="s">
        <v>71</v>
      </c>
      <c r="C100" t="s">
        <v>68</v>
      </c>
      <c r="D100" s="2">
        <v>0.45833333333333331</v>
      </c>
      <c r="E100" t="s">
        <v>69</v>
      </c>
      <c r="F100" s="16">
        <v>15</v>
      </c>
      <c r="G100" s="1"/>
      <c r="H100" s="6"/>
      <c r="U100" s="2">
        <f>中央線快速_東京方面_平日6[[#This Row],[発車時刻(Time)]]-$D99</f>
        <v>2.7777777777777679E-3</v>
      </c>
      <c r="V100" s="4">
        <f t="shared" si="1"/>
        <v>0.9728434504792367</v>
      </c>
    </row>
    <row r="101" spans="2:22" x14ac:dyDescent="0.2">
      <c r="B101" s="17" t="s">
        <v>71</v>
      </c>
      <c r="C101" t="s">
        <v>68</v>
      </c>
      <c r="D101" s="2">
        <v>0.46111111111111108</v>
      </c>
      <c r="E101" t="s">
        <v>69</v>
      </c>
      <c r="F101" s="16">
        <v>15</v>
      </c>
      <c r="G101" s="1"/>
      <c r="H101" s="6"/>
      <c r="U101" s="2">
        <f>中央線快速_東京方面_平日6[[#This Row],[発車時刻(Time)]]-$D100</f>
        <v>2.7777777777777679E-3</v>
      </c>
      <c r="V101" s="4">
        <f t="shared" si="1"/>
        <v>0.9728434504792367</v>
      </c>
    </row>
    <row r="102" spans="2:22" x14ac:dyDescent="0.2">
      <c r="B102" s="17" t="s">
        <v>71</v>
      </c>
      <c r="C102" t="s">
        <v>68</v>
      </c>
      <c r="D102" s="2">
        <v>0.46458333333333335</v>
      </c>
      <c r="E102" t="s">
        <v>69</v>
      </c>
      <c r="F102" s="16">
        <v>15</v>
      </c>
      <c r="G102" s="1"/>
      <c r="H102" s="6"/>
      <c r="U102" s="2">
        <f>中央線快速_東京方面_平日6[[#This Row],[発車時刻(Time)]]-$D101</f>
        <v>3.4722222222222654E-3</v>
      </c>
      <c r="V102" s="4">
        <f t="shared" si="1"/>
        <v>0.77827476038337684</v>
      </c>
    </row>
    <row r="103" spans="2:22" x14ac:dyDescent="0.2">
      <c r="B103" s="17" t="s">
        <v>71</v>
      </c>
      <c r="C103" t="s">
        <v>68</v>
      </c>
      <c r="D103" s="2">
        <v>0.46736111111111112</v>
      </c>
      <c r="E103" t="s">
        <v>69</v>
      </c>
      <c r="F103" s="16">
        <v>15</v>
      </c>
      <c r="G103" s="1"/>
      <c r="H103" s="6"/>
      <c r="U103" s="2">
        <f>中央線快速_東京方面_平日6[[#This Row],[発車時刻(Time)]]-$D102</f>
        <v>2.7777777777777679E-3</v>
      </c>
      <c r="V103" s="4">
        <f t="shared" si="1"/>
        <v>0.9728434504792367</v>
      </c>
    </row>
    <row r="104" spans="2:22" x14ac:dyDescent="0.2">
      <c r="B104" s="17" t="s">
        <v>71</v>
      </c>
      <c r="C104" t="s">
        <v>68</v>
      </c>
      <c r="D104" s="2">
        <v>0.47013888888888888</v>
      </c>
      <c r="E104" t="s">
        <v>69</v>
      </c>
      <c r="F104" s="16">
        <v>15</v>
      </c>
      <c r="G104" s="1"/>
      <c r="H104" s="6"/>
      <c r="U104" s="2">
        <f>中央線快速_東京方面_平日6[[#This Row],[発車時刻(Time)]]-$D103</f>
        <v>2.7777777777777679E-3</v>
      </c>
      <c r="V104" s="4">
        <f t="shared" si="1"/>
        <v>0.9728434504792367</v>
      </c>
    </row>
    <row r="105" spans="2:22" x14ac:dyDescent="0.2">
      <c r="B105" s="17" t="s">
        <v>71</v>
      </c>
      <c r="C105" t="s">
        <v>68</v>
      </c>
      <c r="D105" s="2">
        <v>0.47291666666666665</v>
      </c>
      <c r="E105" t="s">
        <v>69</v>
      </c>
      <c r="F105" s="16">
        <v>15</v>
      </c>
      <c r="G105" s="1"/>
      <c r="H105" s="6"/>
      <c r="U105" s="2">
        <f>中央線快速_東京方面_平日6[[#This Row],[発車時刻(Time)]]-$D104</f>
        <v>2.7777777777777679E-3</v>
      </c>
      <c r="V105" s="4">
        <f t="shared" si="1"/>
        <v>0.9728434504792367</v>
      </c>
    </row>
    <row r="106" spans="2:22" x14ac:dyDescent="0.2">
      <c r="B106" s="17" t="s">
        <v>71</v>
      </c>
      <c r="C106" t="s">
        <v>68</v>
      </c>
      <c r="D106" s="2">
        <v>0.47569444444444442</v>
      </c>
      <c r="E106" t="s">
        <v>69</v>
      </c>
      <c r="F106" s="16">
        <v>15</v>
      </c>
      <c r="G106" s="1"/>
      <c r="H106" s="6"/>
      <c r="U106" s="2">
        <f>中央線快速_東京方面_平日6[[#This Row],[発車時刻(Time)]]-$D105</f>
        <v>2.7777777777777679E-3</v>
      </c>
      <c r="V106" s="4">
        <f t="shared" si="1"/>
        <v>0.9728434504792367</v>
      </c>
    </row>
    <row r="107" spans="2:22" x14ac:dyDescent="0.2">
      <c r="B107" s="17" t="s">
        <v>71</v>
      </c>
      <c r="C107" t="s">
        <v>68</v>
      </c>
      <c r="D107" s="2">
        <v>0.47847222222222219</v>
      </c>
      <c r="E107" t="s">
        <v>69</v>
      </c>
      <c r="F107" s="16">
        <v>15</v>
      </c>
      <c r="G107" s="1"/>
      <c r="H107" s="6"/>
      <c r="U107" s="2">
        <f>中央線快速_東京方面_平日6[[#This Row],[発車時刻(Time)]]-$D106</f>
        <v>2.7777777777777679E-3</v>
      </c>
      <c r="V107" s="4">
        <f t="shared" si="1"/>
        <v>0.9728434504792367</v>
      </c>
    </row>
    <row r="108" spans="2:22" x14ac:dyDescent="0.2">
      <c r="B108" s="17" t="s">
        <v>71</v>
      </c>
      <c r="C108" t="s">
        <v>68</v>
      </c>
      <c r="D108" s="2">
        <v>0.48125000000000001</v>
      </c>
      <c r="E108" t="s">
        <v>69</v>
      </c>
      <c r="F108" s="16">
        <v>15</v>
      </c>
      <c r="G108" s="1"/>
      <c r="H108" s="6"/>
      <c r="U108" s="2">
        <f>中央線快速_東京方面_平日6[[#This Row],[発車時刻(Time)]]-$D107</f>
        <v>2.7777777777778234E-3</v>
      </c>
      <c r="V108" s="4">
        <f t="shared" si="1"/>
        <v>0.97284345047921716</v>
      </c>
    </row>
    <row r="109" spans="2:22" x14ac:dyDescent="0.2">
      <c r="B109" s="17" t="s">
        <v>71</v>
      </c>
      <c r="C109" t="s">
        <v>68</v>
      </c>
      <c r="D109" s="2">
        <v>0.48402777777777778</v>
      </c>
      <c r="E109" t="s">
        <v>69</v>
      </c>
      <c r="F109" s="16">
        <v>15</v>
      </c>
      <c r="G109" s="1"/>
      <c r="H109" s="6"/>
      <c r="U109" s="2">
        <f>中央線快速_東京方面_平日6[[#This Row],[発車時刻(Time)]]-$D108</f>
        <v>2.7777777777777679E-3</v>
      </c>
      <c r="V109" s="4">
        <f t="shared" si="1"/>
        <v>0.9728434504792367</v>
      </c>
    </row>
    <row r="110" spans="2:22" x14ac:dyDescent="0.2">
      <c r="B110" s="17" t="s">
        <v>71</v>
      </c>
      <c r="C110" t="s">
        <v>68</v>
      </c>
      <c r="D110" s="2">
        <v>0.48749999999999999</v>
      </c>
      <c r="E110" t="s">
        <v>69</v>
      </c>
      <c r="F110" s="16">
        <v>15</v>
      </c>
      <c r="G110" s="1"/>
      <c r="H110" s="6"/>
      <c r="U110" s="2">
        <f>中央線快速_東京方面_平日6[[#This Row],[発車時刻(Time)]]-$D109</f>
        <v>3.4722222222222099E-3</v>
      </c>
      <c r="V110" s="4">
        <f t="shared" si="1"/>
        <v>0.77827476038338927</v>
      </c>
    </row>
    <row r="111" spans="2:22" x14ac:dyDescent="0.2">
      <c r="B111" s="17" t="s">
        <v>71</v>
      </c>
      <c r="C111" t="s">
        <v>68</v>
      </c>
      <c r="D111" s="2">
        <v>0.49027777777777781</v>
      </c>
      <c r="E111" t="s">
        <v>69</v>
      </c>
      <c r="F111" s="16">
        <v>15</v>
      </c>
      <c r="G111" s="1"/>
      <c r="H111" s="6"/>
      <c r="U111" s="2">
        <f>中央線快速_東京方面_平日6[[#This Row],[発車時刻(Time)]]-$D110</f>
        <v>2.7777777777778234E-3</v>
      </c>
      <c r="V111" s="4">
        <f t="shared" si="1"/>
        <v>0.97284345047921716</v>
      </c>
    </row>
    <row r="112" spans="2:22" x14ac:dyDescent="0.2">
      <c r="B112" s="17" t="s">
        <v>71</v>
      </c>
      <c r="C112" t="s">
        <v>68</v>
      </c>
      <c r="D112" s="2">
        <v>0.49374999999999997</v>
      </c>
      <c r="E112" t="s">
        <v>69</v>
      </c>
      <c r="F112" s="16">
        <v>15</v>
      </c>
      <c r="G112" s="1"/>
      <c r="H112" s="6"/>
      <c r="U112" s="2">
        <f>中央線快速_東京方面_平日6[[#This Row],[発車時刻(Time)]]-$D111</f>
        <v>3.4722222222221544E-3</v>
      </c>
      <c r="V112" s="4">
        <f t="shared" si="1"/>
        <v>0.77827476038340171</v>
      </c>
    </row>
    <row r="113" spans="2:22" x14ac:dyDescent="0.2">
      <c r="B113" s="17" t="s">
        <v>71</v>
      </c>
      <c r="C113" t="s">
        <v>68</v>
      </c>
      <c r="D113" s="2">
        <v>0.49652777777777773</v>
      </c>
      <c r="E113" t="s">
        <v>69</v>
      </c>
      <c r="F113" s="16">
        <v>15</v>
      </c>
      <c r="G113" s="1"/>
      <c r="H113" s="6"/>
      <c r="U113" s="2">
        <f>中央線快速_東京方面_平日6[[#This Row],[発車時刻(Time)]]-$D112</f>
        <v>2.7777777777777679E-3</v>
      </c>
      <c r="V113" s="4">
        <f t="shared" si="1"/>
        <v>0.9728434504792367</v>
      </c>
    </row>
    <row r="114" spans="2:22" x14ac:dyDescent="0.2">
      <c r="B114" s="17" t="s">
        <v>71</v>
      </c>
      <c r="C114" t="s">
        <v>68</v>
      </c>
      <c r="D114" s="2">
        <v>0.4993055555555555</v>
      </c>
      <c r="E114" t="s">
        <v>69</v>
      </c>
      <c r="F114" s="16">
        <v>15</v>
      </c>
      <c r="G114" s="1"/>
      <c r="H114" s="6"/>
      <c r="U114" s="2">
        <f>中央線快速_東京方面_平日6[[#This Row],[発車時刻(Time)]]-$D113</f>
        <v>2.7777777777777679E-3</v>
      </c>
      <c r="V114" s="4">
        <f t="shared" si="1"/>
        <v>0.9728434504792367</v>
      </c>
    </row>
    <row r="115" spans="2:22" x14ac:dyDescent="0.2">
      <c r="B115" s="17" t="s">
        <v>71</v>
      </c>
      <c r="C115" t="s">
        <v>68</v>
      </c>
      <c r="D115" s="2">
        <v>0.50208333333333333</v>
      </c>
      <c r="E115" t="s">
        <v>69</v>
      </c>
      <c r="F115" s="16">
        <v>15</v>
      </c>
      <c r="G115" s="1"/>
      <c r="H115" s="6"/>
      <c r="U115" s="2">
        <f>中央線快速_東京方面_平日6[[#This Row],[発車時刻(Time)]]-$D114</f>
        <v>2.7777777777778234E-3</v>
      </c>
      <c r="V115" s="4">
        <f t="shared" si="1"/>
        <v>0.97284345047921716</v>
      </c>
    </row>
    <row r="116" spans="2:22" x14ac:dyDescent="0.2">
      <c r="B116" s="17" t="s">
        <v>71</v>
      </c>
      <c r="C116" t="s">
        <v>68</v>
      </c>
      <c r="D116" s="2">
        <v>0.50486111111111109</v>
      </c>
      <c r="E116" t="s">
        <v>69</v>
      </c>
      <c r="F116" s="16">
        <v>15</v>
      </c>
      <c r="G116" s="1"/>
      <c r="H116" s="6"/>
      <c r="U116" s="2">
        <f>中央線快速_東京方面_平日6[[#This Row],[発車時刻(Time)]]-$D115</f>
        <v>2.7777777777777679E-3</v>
      </c>
      <c r="V116" s="4">
        <f t="shared" si="1"/>
        <v>0.9728434504792367</v>
      </c>
    </row>
    <row r="117" spans="2:22" x14ac:dyDescent="0.2">
      <c r="B117" s="17" t="s">
        <v>71</v>
      </c>
      <c r="C117" t="s">
        <v>68</v>
      </c>
      <c r="D117" s="2">
        <v>0.5083333333333333</v>
      </c>
      <c r="E117" t="s">
        <v>69</v>
      </c>
      <c r="F117" s="16">
        <v>15</v>
      </c>
      <c r="G117" s="1"/>
      <c r="H117" s="6"/>
      <c r="U117" s="2">
        <f>中央線快速_東京方面_平日6[[#This Row],[発車時刻(Time)]]-$D116</f>
        <v>3.4722222222222099E-3</v>
      </c>
      <c r="V117" s="4">
        <f t="shared" si="1"/>
        <v>0.77827476038338927</v>
      </c>
    </row>
    <row r="118" spans="2:22" x14ac:dyDescent="0.2">
      <c r="B118" s="17" t="s">
        <v>71</v>
      </c>
      <c r="C118" t="s">
        <v>68</v>
      </c>
      <c r="D118" s="2">
        <v>0.51111111111111118</v>
      </c>
      <c r="E118" t="s">
        <v>69</v>
      </c>
      <c r="F118" s="16">
        <v>15</v>
      </c>
      <c r="G118" s="1"/>
      <c r="H118" s="6"/>
      <c r="U118" s="2">
        <f>中央線快速_東京方面_平日6[[#This Row],[発車時刻(Time)]]-$D117</f>
        <v>2.7777777777778789E-3</v>
      </c>
      <c r="V118" s="4">
        <f t="shared" si="1"/>
        <v>0.97284345047919785</v>
      </c>
    </row>
    <row r="119" spans="2:22" x14ac:dyDescent="0.2">
      <c r="B119" s="17" t="s">
        <v>71</v>
      </c>
      <c r="C119" t="s">
        <v>68</v>
      </c>
      <c r="D119" s="2">
        <v>0.51388888888888895</v>
      </c>
      <c r="E119" t="s">
        <v>69</v>
      </c>
      <c r="F119" s="16">
        <v>15</v>
      </c>
      <c r="G119" s="1"/>
      <c r="H119" s="6"/>
      <c r="U119" s="2">
        <f>中央線快速_東京方面_平日6[[#This Row],[発車時刻(Time)]]-$D118</f>
        <v>2.7777777777777679E-3</v>
      </c>
      <c r="V119" s="4">
        <f t="shared" si="1"/>
        <v>0.9728434504792367</v>
      </c>
    </row>
    <row r="120" spans="2:22" x14ac:dyDescent="0.2">
      <c r="B120" s="17" t="s">
        <v>71</v>
      </c>
      <c r="C120" t="s">
        <v>68</v>
      </c>
      <c r="D120" s="2">
        <v>0.51666666666666672</v>
      </c>
      <c r="E120" t="s">
        <v>69</v>
      </c>
      <c r="F120" s="16">
        <v>15</v>
      </c>
      <c r="G120" s="1"/>
      <c r="H120" s="6"/>
      <c r="U120" s="2">
        <f>中央線快速_東京方面_平日6[[#This Row],[発車時刻(Time)]]-$D119</f>
        <v>2.7777777777777679E-3</v>
      </c>
      <c r="V120" s="4">
        <f t="shared" si="1"/>
        <v>0.9728434504792367</v>
      </c>
    </row>
    <row r="121" spans="2:22" x14ac:dyDescent="0.2">
      <c r="B121" s="17" t="s">
        <v>71</v>
      </c>
      <c r="C121" t="s">
        <v>68</v>
      </c>
      <c r="D121" s="2">
        <v>0.51944444444444449</v>
      </c>
      <c r="E121" t="s">
        <v>69</v>
      </c>
      <c r="F121" s="16">
        <v>15</v>
      </c>
      <c r="G121" s="1"/>
      <c r="H121" s="6"/>
      <c r="U121" s="2">
        <f>中央線快速_東京方面_平日6[[#This Row],[発車時刻(Time)]]-$D120</f>
        <v>2.7777777777777679E-3</v>
      </c>
      <c r="V121" s="4">
        <f t="shared" si="1"/>
        <v>0.9728434504792367</v>
      </c>
    </row>
    <row r="122" spans="2:22" x14ac:dyDescent="0.2">
      <c r="B122" s="17" t="s">
        <v>71</v>
      </c>
      <c r="C122" t="s">
        <v>68</v>
      </c>
      <c r="D122" s="2">
        <v>0.52222222222222225</v>
      </c>
      <c r="E122" t="s">
        <v>69</v>
      </c>
      <c r="F122" s="16">
        <v>15</v>
      </c>
      <c r="G122" s="1"/>
      <c r="H122" s="6"/>
      <c r="U122" s="2">
        <f>中央線快速_東京方面_平日6[[#This Row],[発車時刻(Time)]]-$D121</f>
        <v>2.7777777777777679E-3</v>
      </c>
      <c r="V122" s="4">
        <f t="shared" si="1"/>
        <v>0.9728434504792367</v>
      </c>
    </row>
    <row r="123" spans="2:22" x14ac:dyDescent="0.2">
      <c r="B123" s="17" t="s">
        <v>71</v>
      </c>
      <c r="C123" t="s">
        <v>68</v>
      </c>
      <c r="D123" s="2">
        <v>0.52569444444444446</v>
      </c>
      <c r="E123" t="s">
        <v>69</v>
      </c>
      <c r="F123" s="16">
        <v>15</v>
      </c>
      <c r="G123" s="1"/>
      <c r="H123" s="6"/>
      <c r="U123" s="2">
        <f>中央線快速_東京方面_平日6[[#This Row],[発車時刻(Time)]]-$D122</f>
        <v>3.4722222222222099E-3</v>
      </c>
      <c r="V123" s="4">
        <f t="shared" si="1"/>
        <v>0.77827476038338927</v>
      </c>
    </row>
    <row r="124" spans="2:22" x14ac:dyDescent="0.2">
      <c r="B124" s="17" t="s">
        <v>71</v>
      </c>
      <c r="C124" t="s">
        <v>68</v>
      </c>
      <c r="D124" s="2">
        <v>0.52847222222222223</v>
      </c>
      <c r="E124" t="s">
        <v>69</v>
      </c>
      <c r="F124" s="16">
        <v>15</v>
      </c>
      <c r="G124" s="1"/>
      <c r="H124" s="6"/>
      <c r="U124" s="2">
        <f>中央線快速_東京方面_平日6[[#This Row],[発車時刻(Time)]]-$D123</f>
        <v>2.7777777777777679E-3</v>
      </c>
      <c r="V124" s="4">
        <f t="shared" si="1"/>
        <v>0.9728434504792367</v>
      </c>
    </row>
    <row r="125" spans="2:22" x14ac:dyDescent="0.2">
      <c r="B125" s="17" t="s">
        <v>71</v>
      </c>
      <c r="C125" t="s">
        <v>68</v>
      </c>
      <c r="D125" s="2">
        <v>0.53125</v>
      </c>
      <c r="E125" t="s">
        <v>69</v>
      </c>
      <c r="F125" s="16">
        <v>15</v>
      </c>
      <c r="G125" s="1"/>
      <c r="H125" s="6"/>
      <c r="U125" s="2">
        <f>中央線快速_東京方面_平日6[[#This Row],[発車時刻(Time)]]-$D124</f>
        <v>2.7777777777777679E-3</v>
      </c>
      <c r="V125" s="4">
        <f t="shared" si="1"/>
        <v>0.9728434504792367</v>
      </c>
    </row>
    <row r="126" spans="2:22" x14ac:dyDescent="0.2">
      <c r="B126" s="17" t="s">
        <v>71</v>
      </c>
      <c r="C126" t="s">
        <v>68</v>
      </c>
      <c r="D126" s="2">
        <v>0.53402777777777777</v>
      </c>
      <c r="E126" t="s">
        <v>69</v>
      </c>
      <c r="F126" s="16">
        <v>15</v>
      </c>
      <c r="G126" s="1"/>
      <c r="H126" s="6"/>
      <c r="U126" s="2">
        <f>中央線快速_東京方面_平日6[[#This Row],[発車時刻(Time)]]-$D125</f>
        <v>2.7777777777777679E-3</v>
      </c>
      <c r="V126" s="4">
        <f t="shared" si="1"/>
        <v>0.9728434504792367</v>
      </c>
    </row>
    <row r="127" spans="2:22" x14ac:dyDescent="0.2">
      <c r="B127" s="17" t="s">
        <v>71</v>
      </c>
      <c r="C127" t="s">
        <v>68</v>
      </c>
      <c r="D127" s="2">
        <v>0.53749999999999998</v>
      </c>
      <c r="E127" t="s">
        <v>69</v>
      </c>
      <c r="F127" s="16">
        <v>15</v>
      </c>
      <c r="G127" s="1"/>
      <c r="H127" s="6"/>
      <c r="U127" s="2">
        <f>中央線快速_東京方面_平日6[[#This Row],[発車時刻(Time)]]-$D126</f>
        <v>3.4722222222222099E-3</v>
      </c>
      <c r="V127" s="4">
        <f t="shared" si="1"/>
        <v>0.77827476038338927</v>
      </c>
    </row>
    <row r="128" spans="2:22" x14ac:dyDescent="0.2">
      <c r="B128" s="17" t="s">
        <v>71</v>
      </c>
      <c r="C128" t="s">
        <v>68</v>
      </c>
      <c r="D128" s="2">
        <v>0.54097222222222219</v>
      </c>
      <c r="E128" t="s">
        <v>69</v>
      </c>
      <c r="F128" s="16">
        <v>15</v>
      </c>
      <c r="G128" s="1"/>
      <c r="H128" s="6"/>
      <c r="U128" s="2">
        <f>中央線快速_東京方面_平日6[[#This Row],[発車時刻(Time)]]-$D127</f>
        <v>3.4722222222222099E-3</v>
      </c>
      <c r="V128" s="4">
        <f t="shared" si="1"/>
        <v>0.77827476038338927</v>
      </c>
    </row>
    <row r="129" spans="2:22" x14ac:dyDescent="0.2">
      <c r="B129" s="17" t="s">
        <v>71</v>
      </c>
      <c r="C129" t="s">
        <v>68</v>
      </c>
      <c r="D129" s="2">
        <v>0.54305555555555551</v>
      </c>
      <c r="E129" t="s">
        <v>69</v>
      </c>
      <c r="F129" s="16">
        <v>15</v>
      </c>
      <c r="G129" s="1"/>
      <c r="H129" s="6"/>
      <c r="U129" s="2">
        <f>中央線快速_東京方面_平日6[[#This Row],[発車時刻(Time)]]-$D128</f>
        <v>2.0833333333333259E-3</v>
      </c>
      <c r="V129" s="4">
        <f t="shared" si="1"/>
        <v>1.2971246006389821</v>
      </c>
    </row>
    <row r="130" spans="2:22" x14ac:dyDescent="0.2">
      <c r="B130" s="17" t="s">
        <v>71</v>
      </c>
      <c r="C130" t="s">
        <v>68</v>
      </c>
      <c r="D130" s="2">
        <v>0.54583333333333328</v>
      </c>
      <c r="E130" t="s">
        <v>69</v>
      </c>
      <c r="F130" s="16">
        <v>15</v>
      </c>
      <c r="G130" s="1"/>
      <c r="H130" s="6"/>
      <c r="U130" s="2">
        <f>中央線快速_東京方面_平日6[[#This Row],[発車時刻(Time)]]-$D129</f>
        <v>2.7777777777777679E-3</v>
      </c>
      <c r="V130" s="4">
        <f t="shared" si="1"/>
        <v>0.9728434504792367</v>
      </c>
    </row>
    <row r="131" spans="2:22" x14ac:dyDescent="0.2">
      <c r="B131" s="17" t="s">
        <v>71</v>
      </c>
      <c r="C131" t="s">
        <v>68</v>
      </c>
      <c r="D131" s="2">
        <v>0.54861111111111105</v>
      </c>
      <c r="E131" t="s">
        <v>69</v>
      </c>
      <c r="F131" s="16">
        <v>15</v>
      </c>
      <c r="G131" s="1"/>
      <c r="H131" s="6"/>
      <c r="U131" s="2">
        <f>中央線快速_東京方面_平日6[[#This Row],[発車時刻(Time)]]-$D130</f>
        <v>2.7777777777777679E-3</v>
      </c>
      <c r="V131" s="4">
        <f t="shared" si="1"/>
        <v>0.9728434504792367</v>
      </c>
    </row>
    <row r="132" spans="2:22" x14ac:dyDescent="0.2">
      <c r="B132" s="17" t="s">
        <v>71</v>
      </c>
      <c r="C132" t="s">
        <v>68</v>
      </c>
      <c r="D132" s="2">
        <v>0.55208333333333337</v>
      </c>
      <c r="E132" t="s">
        <v>69</v>
      </c>
      <c r="F132" s="16">
        <v>15</v>
      </c>
      <c r="G132" s="1"/>
      <c r="H132" s="6"/>
      <c r="U132" s="2">
        <f>中央線快速_東京方面_平日6[[#This Row],[発車時刻(Time)]]-$D131</f>
        <v>3.4722222222223209E-3</v>
      </c>
      <c r="V132" s="4">
        <f t="shared" ref="V132:V195" si="2">IFERROR((1/(U132/$K$2)), 0)</f>
        <v>0.77827476038336441</v>
      </c>
    </row>
    <row r="133" spans="2:22" x14ac:dyDescent="0.2">
      <c r="B133" s="17" t="s">
        <v>71</v>
      </c>
      <c r="C133" t="s">
        <v>68</v>
      </c>
      <c r="D133" s="2">
        <v>0.55486111111111114</v>
      </c>
      <c r="E133" t="s">
        <v>69</v>
      </c>
      <c r="F133" s="16">
        <v>15</v>
      </c>
      <c r="G133" s="1"/>
      <c r="H133" s="6"/>
      <c r="U133" s="2">
        <f>中央線快速_東京方面_平日6[[#This Row],[発車時刻(Time)]]-$D132</f>
        <v>2.7777777777777679E-3</v>
      </c>
      <c r="V133" s="4">
        <f t="shared" si="2"/>
        <v>0.9728434504792367</v>
      </c>
    </row>
    <row r="134" spans="2:22" x14ac:dyDescent="0.2">
      <c r="B134" s="17" t="s">
        <v>71</v>
      </c>
      <c r="C134" t="s">
        <v>68</v>
      </c>
      <c r="D134" s="2">
        <v>0.55763888888888891</v>
      </c>
      <c r="E134" t="s">
        <v>69</v>
      </c>
      <c r="F134" s="16">
        <v>15</v>
      </c>
      <c r="G134" s="1"/>
      <c r="H134" s="6"/>
      <c r="U134" s="2">
        <f>中央線快速_東京方面_平日6[[#This Row],[発車時刻(Time)]]-$D133</f>
        <v>2.7777777777777679E-3</v>
      </c>
      <c r="V134" s="4">
        <f t="shared" si="2"/>
        <v>0.9728434504792367</v>
      </c>
    </row>
    <row r="135" spans="2:22" x14ac:dyDescent="0.2">
      <c r="B135" s="17" t="s">
        <v>71</v>
      </c>
      <c r="C135" t="s">
        <v>68</v>
      </c>
      <c r="D135" s="2">
        <v>0.56041666666666667</v>
      </c>
      <c r="E135" t="s">
        <v>69</v>
      </c>
      <c r="F135" s="16">
        <v>15</v>
      </c>
      <c r="G135" s="1"/>
      <c r="H135" s="6"/>
      <c r="U135" s="2">
        <f>中央線快速_東京方面_平日6[[#This Row],[発車時刻(Time)]]-$D134</f>
        <v>2.7777777777777679E-3</v>
      </c>
      <c r="V135" s="4">
        <f t="shared" si="2"/>
        <v>0.9728434504792367</v>
      </c>
    </row>
    <row r="136" spans="2:22" x14ac:dyDescent="0.2">
      <c r="B136" s="17" t="s">
        <v>71</v>
      </c>
      <c r="C136" t="s">
        <v>68</v>
      </c>
      <c r="D136" s="2">
        <v>0.56319444444444444</v>
      </c>
      <c r="E136" t="s">
        <v>69</v>
      </c>
      <c r="F136" s="16">
        <v>15</v>
      </c>
      <c r="G136" s="1"/>
      <c r="H136" s="6"/>
      <c r="U136" s="2">
        <f>中央線快速_東京方面_平日6[[#This Row],[発車時刻(Time)]]-$D135</f>
        <v>2.7777777777777679E-3</v>
      </c>
      <c r="V136" s="4">
        <f t="shared" si="2"/>
        <v>0.9728434504792367</v>
      </c>
    </row>
    <row r="137" spans="2:22" x14ac:dyDescent="0.2">
      <c r="B137" s="17" t="s">
        <v>71</v>
      </c>
      <c r="C137" t="s">
        <v>68</v>
      </c>
      <c r="D137" s="2">
        <v>0.56597222222222221</v>
      </c>
      <c r="E137" t="s">
        <v>69</v>
      </c>
      <c r="F137" s="16">
        <v>15</v>
      </c>
      <c r="G137" s="1"/>
      <c r="H137" s="6"/>
      <c r="U137" s="2">
        <f>中央線快速_東京方面_平日6[[#This Row],[発車時刻(Time)]]-$D136</f>
        <v>2.7777777777777679E-3</v>
      </c>
      <c r="V137" s="4">
        <f t="shared" si="2"/>
        <v>0.9728434504792367</v>
      </c>
    </row>
    <row r="138" spans="2:22" x14ac:dyDescent="0.2">
      <c r="B138" s="17" t="s">
        <v>71</v>
      </c>
      <c r="C138" t="s">
        <v>68</v>
      </c>
      <c r="D138" s="2">
        <v>0.56944444444444442</v>
      </c>
      <c r="E138" t="s">
        <v>69</v>
      </c>
      <c r="F138" s="16">
        <v>15</v>
      </c>
      <c r="G138" s="1"/>
      <c r="H138" s="6"/>
      <c r="U138" s="2">
        <f>中央線快速_東京方面_平日6[[#This Row],[発車時刻(Time)]]-$D137</f>
        <v>3.4722222222222099E-3</v>
      </c>
      <c r="V138" s="4">
        <f t="shared" si="2"/>
        <v>0.77827476038338927</v>
      </c>
    </row>
    <row r="139" spans="2:22" x14ac:dyDescent="0.2">
      <c r="B139" s="17" t="s">
        <v>71</v>
      </c>
      <c r="C139" t="s">
        <v>68</v>
      </c>
      <c r="D139" s="2">
        <v>0.57222222222222219</v>
      </c>
      <c r="E139" t="s">
        <v>69</v>
      </c>
      <c r="F139" s="16">
        <v>15</v>
      </c>
      <c r="G139" s="1"/>
      <c r="H139" s="6"/>
      <c r="U139" s="2">
        <f>中央線快速_東京方面_平日6[[#This Row],[発車時刻(Time)]]-$D138</f>
        <v>2.7777777777777679E-3</v>
      </c>
      <c r="V139" s="4">
        <f t="shared" si="2"/>
        <v>0.9728434504792367</v>
      </c>
    </row>
    <row r="140" spans="2:22" x14ac:dyDescent="0.2">
      <c r="B140" s="17" t="s">
        <v>71</v>
      </c>
      <c r="C140" t="s">
        <v>68</v>
      </c>
      <c r="D140" s="2">
        <v>0.57500000000000007</v>
      </c>
      <c r="E140" t="s">
        <v>69</v>
      </c>
      <c r="F140" s="16">
        <v>15</v>
      </c>
      <c r="G140" s="1"/>
      <c r="H140" s="6"/>
      <c r="U140" s="2">
        <f>中央線快速_東京方面_平日6[[#This Row],[発車時刻(Time)]]-$D139</f>
        <v>2.7777777777778789E-3</v>
      </c>
      <c r="V140" s="4">
        <f t="shared" si="2"/>
        <v>0.97284345047919785</v>
      </c>
    </row>
    <row r="141" spans="2:22" x14ac:dyDescent="0.2">
      <c r="B141" s="17" t="s">
        <v>71</v>
      </c>
      <c r="C141" t="s">
        <v>68</v>
      </c>
      <c r="D141" s="2">
        <v>0.57847222222222217</v>
      </c>
      <c r="E141" t="s">
        <v>69</v>
      </c>
      <c r="F141" s="16">
        <v>15</v>
      </c>
      <c r="G141" s="1"/>
      <c r="H141" s="6"/>
      <c r="U141" s="2">
        <f>中央線快速_東京方面_平日6[[#This Row],[発車時刻(Time)]]-$D140</f>
        <v>3.4722222222220989E-3</v>
      </c>
      <c r="V141" s="4">
        <f t="shared" si="2"/>
        <v>0.77827476038341414</v>
      </c>
    </row>
    <row r="142" spans="2:22" x14ac:dyDescent="0.2">
      <c r="B142" s="17" t="s">
        <v>71</v>
      </c>
      <c r="C142" t="s">
        <v>68</v>
      </c>
      <c r="D142" s="2">
        <v>0.58124999999999993</v>
      </c>
      <c r="E142" t="s">
        <v>69</v>
      </c>
      <c r="F142" s="16">
        <v>15</v>
      </c>
      <c r="G142" s="1"/>
      <c r="H142" s="6"/>
      <c r="U142" s="2">
        <f>中央線快速_東京方面_平日6[[#This Row],[発車時刻(Time)]]-$D141</f>
        <v>2.7777777777777679E-3</v>
      </c>
      <c r="V142" s="4">
        <f t="shared" si="2"/>
        <v>0.9728434504792367</v>
      </c>
    </row>
    <row r="143" spans="2:22" x14ac:dyDescent="0.2">
      <c r="B143" s="17" t="s">
        <v>71</v>
      </c>
      <c r="C143" t="s">
        <v>68</v>
      </c>
      <c r="D143" s="2">
        <v>0.58402777777777781</v>
      </c>
      <c r="E143" t="s">
        <v>69</v>
      </c>
      <c r="F143" s="16">
        <v>15</v>
      </c>
      <c r="G143" s="1"/>
      <c r="H143" s="6"/>
      <c r="U143" s="2">
        <f>中央線快速_東京方面_平日6[[#This Row],[発車時刻(Time)]]-$D142</f>
        <v>2.7777777777778789E-3</v>
      </c>
      <c r="V143" s="4">
        <f t="shared" si="2"/>
        <v>0.97284345047919785</v>
      </c>
    </row>
    <row r="144" spans="2:22" x14ac:dyDescent="0.2">
      <c r="B144" s="17" t="s">
        <v>71</v>
      </c>
      <c r="C144" t="s">
        <v>68</v>
      </c>
      <c r="D144" s="2">
        <v>0.58680555555555558</v>
      </c>
      <c r="E144" t="s">
        <v>69</v>
      </c>
      <c r="F144" s="16">
        <v>15</v>
      </c>
      <c r="G144" s="1"/>
      <c r="H144" s="6"/>
      <c r="U144" s="2">
        <f>中央線快速_東京方面_平日6[[#This Row],[発車時刻(Time)]]-$D143</f>
        <v>2.7777777777777679E-3</v>
      </c>
      <c r="V144" s="4">
        <f t="shared" si="2"/>
        <v>0.9728434504792367</v>
      </c>
    </row>
    <row r="145" spans="2:22" x14ac:dyDescent="0.2">
      <c r="B145" s="17" t="s">
        <v>71</v>
      </c>
      <c r="C145" t="s">
        <v>68</v>
      </c>
      <c r="D145" s="2">
        <v>0.58958333333333335</v>
      </c>
      <c r="E145" t="s">
        <v>69</v>
      </c>
      <c r="F145" s="16">
        <v>15</v>
      </c>
      <c r="G145" s="1"/>
      <c r="H145" s="6"/>
      <c r="U145" s="2">
        <f>中央線快速_東京方面_平日6[[#This Row],[発車時刻(Time)]]-$D144</f>
        <v>2.7777777777777679E-3</v>
      </c>
      <c r="V145" s="4">
        <f t="shared" si="2"/>
        <v>0.9728434504792367</v>
      </c>
    </row>
    <row r="146" spans="2:22" x14ac:dyDescent="0.2">
      <c r="B146" s="17" t="s">
        <v>71</v>
      </c>
      <c r="C146" t="s">
        <v>68</v>
      </c>
      <c r="D146" s="2">
        <v>0.59236111111111112</v>
      </c>
      <c r="E146" t="s">
        <v>69</v>
      </c>
      <c r="F146" s="16">
        <v>15</v>
      </c>
      <c r="G146" s="1"/>
      <c r="H146" s="6"/>
      <c r="U146" s="2">
        <f>中央線快速_東京方面_平日6[[#This Row],[発車時刻(Time)]]-$D145</f>
        <v>2.7777777777777679E-3</v>
      </c>
      <c r="V146" s="4">
        <f t="shared" si="2"/>
        <v>0.9728434504792367</v>
      </c>
    </row>
    <row r="147" spans="2:22" x14ac:dyDescent="0.2">
      <c r="B147" s="17" t="s">
        <v>71</v>
      </c>
      <c r="C147" t="s">
        <v>68</v>
      </c>
      <c r="D147" s="2">
        <v>0.59513888888888888</v>
      </c>
      <c r="E147" t="s">
        <v>69</v>
      </c>
      <c r="F147" s="16">
        <v>15</v>
      </c>
      <c r="G147" s="1"/>
      <c r="H147" s="6"/>
      <c r="U147" s="2">
        <f>中央線快速_東京方面_平日6[[#This Row],[発車時刻(Time)]]-$D146</f>
        <v>2.7777777777777679E-3</v>
      </c>
      <c r="V147" s="4">
        <f t="shared" si="2"/>
        <v>0.9728434504792367</v>
      </c>
    </row>
    <row r="148" spans="2:22" x14ac:dyDescent="0.2">
      <c r="B148" s="17" t="s">
        <v>71</v>
      </c>
      <c r="C148" t="s">
        <v>68</v>
      </c>
      <c r="D148" s="2">
        <v>0.59791666666666665</v>
      </c>
      <c r="E148" t="s">
        <v>69</v>
      </c>
      <c r="F148" s="16">
        <v>15</v>
      </c>
      <c r="G148" s="1"/>
      <c r="H148" s="6"/>
      <c r="U148" s="2">
        <f>中央線快速_東京方面_平日6[[#This Row],[発車時刻(Time)]]-$D147</f>
        <v>2.7777777777777679E-3</v>
      </c>
      <c r="V148" s="4">
        <f t="shared" si="2"/>
        <v>0.9728434504792367</v>
      </c>
    </row>
    <row r="149" spans="2:22" x14ac:dyDescent="0.2">
      <c r="B149" s="17" t="s">
        <v>71</v>
      </c>
      <c r="C149" t="s">
        <v>68</v>
      </c>
      <c r="D149" s="2">
        <v>0.60138888888888886</v>
      </c>
      <c r="E149" t="s">
        <v>69</v>
      </c>
      <c r="F149" s="16">
        <v>15</v>
      </c>
      <c r="G149" s="1"/>
      <c r="H149" s="6"/>
      <c r="U149" s="2">
        <f>中央線快速_東京方面_平日6[[#This Row],[発車時刻(Time)]]-$D148</f>
        <v>3.4722222222222099E-3</v>
      </c>
      <c r="V149" s="4">
        <f t="shared" si="2"/>
        <v>0.77827476038338927</v>
      </c>
    </row>
    <row r="150" spans="2:22" x14ac:dyDescent="0.2">
      <c r="B150" s="17" t="s">
        <v>71</v>
      </c>
      <c r="C150" t="s">
        <v>68</v>
      </c>
      <c r="D150" s="2">
        <v>0.60416666666666663</v>
      </c>
      <c r="E150" t="s">
        <v>69</v>
      </c>
      <c r="F150" s="16">
        <v>15</v>
      </c>
      <c r="G150" s="1"/>
      <c r="H150" s="6"/>
      <c r="U150" s="2">
        <f>中央線快速_東京方面_平日6[[#This Row],[発車時刻(Time)]]-$D149</f>
        <v>2.7777777777777679E-3</v>
      </c>
      <c r="V150" s="4">
        <f t="shared" si="2"/>
        <v>0.9728434504792367</v>
      </c>
    </row>
    <row r="151" spans="2:22" x14ac:dyDescent="0.2">
      <c r="B151" s="17" t="s">
        <v>71</v>
      </c>
      <c r="C151" t="s">
        <v>68</v>
      </c>
      <c r="D151" s="2">
        <v>0.6069444444444444</v>
      </c>
      <c r="E151" t="s">
        <v>69</v>
      </c>
      <c r="F151" s="16">
        <v>15</v>
      </c>
      <c r="G151" s="1"/>
      <c r="H151" s="6"/>
      <c r="U151" s="2">
        <f>中央線快速_東京方面_平日6[[#This Row],[発車時刻(Time)]]-$D150</f>
        <v>2.7777777777777679E-3</v>
      </c>
      <c r="V151" s="4">
        <f t="shared" si="2"/>
        <v>0.9728434504792367</v>
      </c>
    </row>
    <row r="152" spans="2:22" x14ac:dyDescent="0.2">
      <c r="B152" s="17" t="s">
        <v>71</v>
      </c>
      <c r="C152" t="s">
        <v>68</v>
      </c>
      <c r="D152" s="2">
        <v>0.60972222222222217</v>
      </c>
      <c r="E152" t="s">
        <v>69</v>
      </c>
      <c r="F152" s="16">
        <v>15</v>
      </c>
      <c r="G152" s="1"/>
      <c r="H152" s="6"/>
      <c r="U152" s="2">
        <f>中央線快速_東京方面_平日6[[#This Row],[発車時刻(Time)]]-$D151</f>
        <v>2.7777777777777679E-3</v>
      </c>
      <c r="V152" s="4">
        <f t="shared" si="2"/>
        <v>0.9728434504792367</v>
      </c>
    </row>
    <row r="153" spans="2:22" x14ac:dyDescent="0.2">
      <c r="B153" s="17" t="s">
        <v>71</v>
      </c>
      <c r="C153" t="s">
        <v>68</v>
      </c>
      <c r="D153" s="2">
        <v>0.61249999999999993</v>
      </c>
      <c r="E153" t="s">
        <v>69</v>
      </c>
      <c r="F153" s="16">
        <v>15</v>
      </c>
      <c r="G153" s="1"/>
      <c r="H153" s="6"/>
      <c r="U153" s="2">
        <f>中央線快速_東京方面_平日6[[#This Row],[発車時刻(Time)]]-$D152</f>
        <v>2.7777777777777679E-3</v>
      </c>
      <c r="V153" s="4">
        <f t="shared" si="2"/>
        <v>0.9728434504792367</v>
      </c>
    </row>
    <row r="154" spans="2:22" x14ac:dyDescent="0.2">
      <c r="B154" s="17" t="s">
        <v>71</v>
      </c>
      <c r="C154" t="s">
        <v>68</v>
      </c>
      <c r="D154" s="2">
        <v>0.61527777777777781</v>
      </c>
      <c r="E154" t="s">
        <v>69</v>
      </c>
      <c r="F154" s="16">
        <v>15</v>
      </c>
      <c r="G154" s="1"/>
      <c r="H154" s="6"/>
      <c r="U154" s="2">
        <f>中央線快速_東京方面_平日6[[#This Row],[発車時刻(Time)]]-$D153</f>
        <v>2.7777777777778789E-3</v>
      </c>
      <c r="V154" s="4">
        <f t="shared" si="2"/>
        <v>0.97284345047919785</v>
      </c>
    </row>
    <row r="155" spans="2:22" x14ac:dyDescent="0.2">
      <c r="B155" s="17" t="s">
        <v>71</v>
      </c>
      <c r="C155" t="s">
        <v>68</v>
      </c>
      <c r="D155" s="2">
        <v>0.61875000000000002</v>
      </c>
      <c r="E155" t="s">
        <v>69</v>
      </c>
      <c r="F155" s="16">
        <v>15</v>
      </c>
      <c r="G155" s="1"/>
      <c r="H155" s="6"/>
      <c r="U155" s="2">
        <f>中央線快速_東京方面_平日6[[#This Row],[発車時刻(Time)]]-$D154</f>
        <v>3.4722222222222099E-3</v>
      </c>
      <c r="V155" s="4">
        <f t="shared" si="2"/>
        <v>0.77827476038338927</v>
      </c>
    </row>
    <row r="156" spans="2:22" x14ac:dyDescent="0.2">
      <c r="B156" s="17" t="s">
        <v>71</v>
      </c>
      <c r="C156" t="s">
        <v>68</v>
      </c>
      <c r="D156" s="2">
        <v>0.62222222222222223</v>
      </c>
      <c r="E156" t="s">
        <v>69</v>
      </c>
      <c r="F156" s="16">
        <v>15</v>
      </c>
      <c r="G156" s="1"/>
      <c r="H156" s="6"/>
      <c r="U156" s="2">
        <f>中央線快速_東京方面_平日6[[#This Row],[発車時刻(Time)]]-$D155</f>
        <v>3.4722222222222099E-3</v>
      </c>
      <c r="V156" s="4">
        <f t="shared" si="2"/>
        <v>0.77827476038338927</v>
      </c>
    </row>
    <row r="157" spans="2:22" x14ac:dyDescent="0.2">
      <c r="B157" s="17" t="s">
        <v>71</v>
      </c>
      <c r="C157" t="s">
        <v>68</v>
      </c>
      <c r="D157" s="2">
        <v>0.625</v>
      </c>
      <c r="E157" t="s">
        <v>69</v>
      </c>
      <c r="F157" s="16">
        <v>15</v>
      </c>
      <c r="G157" s="1"/>
      <c r="H157" s="6"/>
      <c r="U157" s="2">
        <f>中央線快速_東京方面_平日6[[#This Row],[発車時刻(Time)]]-$D156</f>
        <v>2.7777777777777679E-3</v>
      </c>
      <c r="V157" s="4">
        <f t="shared" si="2"/>
        <v>0.9728434504792367</v>
      </c>
    </row>
    <row r="158" spans="2:22" x14ac:dyDescent="0.2">
      <c r="B158" s="17" t="s">
        <v>71</v>
      </c>
      <c r="C158" t="s">
        <v>68</v>
      </c>
      <c r="D158" s="2">
        <v>0.62777777777777777</v>
      </c>
      <c r="E158" t="s">
        <v>69</v>
      </c>
      <c r="F158" s="16">
        <v>15</v>
      </c>
      <c r="G158" s="1"/>
      <c r="H158" s="6"/>
      <c r="U158" s="2">
        <f>中央線快速_東京方面_平日6[[#This Row],[発車時刻(Time)]]-$D157</f>
        <v>2.7777777777777679E-3</v>
      </c>
      <c r="V158" s="4">
        <f t="shared" si="2"/>
        <v>0.9728434504792367</v>
      </c>
    </row>
    <row r="159" spans="2:22" x14ac:dyDescent="0.2">
      <c r="B159" s="17" t="s">
        <v>71</v>
      </c>
      <c r="C159" t="s">
        <v>68</v>
      </c>
      <c r="D159" s="2">
        <v>0.63055555555555554</v>
      </c>
      <c r="E159" t="s">
        <v>69</v>
      </c>
      <c r="F159" s="16">
        <v>15</v>
      </c>
      <c r="G159" s="1"/>
      <c r="H159" s="6"/>
      <c r="U159" s="2">
        <f>中央線快速_東京方面_平日6[[#This Row],[発車時刻(Time)]]-$D158</f>
        <v>2.7777777777777679E-3</v>
      </c>
      <c r="V159" s="4">
        <f t="shared" si="2"/>
        <v>0.9728434504792367</v>
      </c>
    </row>
    <row r="160" spans="2:22" x14ac:dyDescent="0.2">
      <c r="B160" s="17" t="s">
        <v>71</v>
      </c>
      <c r="C160" t="s">
        <v>68</v>
      </c>
      <c r="D160" s="2">
        <v>0.6333333333333333</v>
      </c>
      <c r="E160" t="s">
        <v>69</v>
      </c>
      <c r="F160" s="16">
        <v>15</v>
      </c>
      <c r="G160" s="1"/>
      <c r="H160" s="6"/>
      <c r="U160" s="2">
        <f>中央線快速_東京方面_平日6[[#This Row],[発車時刻(Time)]]-$D159</f>
        <v>2.7777777777777679E-3</v>
      </c>
      <c r="V160" s="4">
        <f t="shared" si="2"/>
        <v>0.9728434504792367</v>
      </c>
    </row>
    <row r="161" spans="2:22" x14ac:dyDescent="0.2">
      <c r="B161" s="17" t="s">
        <v>71</v>
      </c>
      <c r="C161" t="s">
        <v>68</v>
      </c>
      <c r="D161" s="2">
        <v>0.63611111111111118</v>
      </c>
      <c r="E161" t="s">
        <v>69</v>
      </c>
      <c r="F161" s="16">
        <v>15</v>
      </c>
      <c r="G161" s="1"/>
      <c r="H161" s="6"/>
      <c r="U161" s="2">
        <f>中央線快速_東京方面_平日6[[#This Row],[発車時刻(Time)]]-$D160</f>
        <v>2.7777777777778789E-3</v>
      </c>
      <c r="V161" s="4">
        <f t="shared" si="2"/>
        <v>0.97284345047919785</v>
      </c>
    </row>
    <row r="162" spans="2:22" x14ac:dyDescent="0.2">
      <c r="B162" s="17" t="s">
        <v>71</v>
      </c>
      <c r="C162" t="s">
        <v>68</v>
      </c>
      <c r="D162" s="2">
        <v>0.63958333333333328</v>
      </c>
      <c r="E162" t="s">
        <v>69</v>
      </c>
      <c r="F162" s="16">
        <v>15</v>
      </c>
      <c r="G162" s="1"/>
      <c r="H162" s="6"/>
      <c r="U162" s="2">
        <f>中央線快速_東京方面_平日6[[#This Row],[発車時刻(Time)]]-$D161</f>
        <v>3.4722222222220989E-3</v>
      </c>
      <c r="V162" s="4">
        <f t="shared" si="2"/>
        <v>0.77827476038341414</v>
      </c>
    </row>
    <row r="163" spans="2:22" x14ac:dyDescent="0.2">
      <c r="B163" s="17" t="s">
        <v>71</v>
      </c>
      <c r="C163" t="s">
        <v>68</v>
      </c>
      <c r="D163" s="2">
        <v>0.64236111111111105</v>
      </c>
      <c r="E163" t="s">
        <v>69</v>
      </c>
      <c r="F163" s="16">
        <v>15</v>
      </c>
      <c r="G163" s="1"/>
      <c r="H163" s="6"/>
      <c r="U163" s="2">
        <f>中央線快速_東京方面_平日6[[#This Row],[発車時刻(Time)]]-$D162</f>
        <v>2.7777777777777679E-3</v>
      </c>
      <c r="V163" s="4">
        <f t="shared" si="2"/>
        <v>0.9728434504792367</v>
      </c>
    </row>
    <row r="164" spans="2:22" x14ac:dyDescent="0.2">
      <c r="B164" s="17" t="s">
        <v>71</v>
      </c>
      <c r="C164" t="s">
        <v>68</v>
      </c>
      <c r="D164" s="2">
        <v>0.64513888888888882</v>
      </c>
      <c r="E164" t="s">
        <v>69</v>
      </c>
      <c r="F164" s="16">
        <v>15</v>
      </c>
      <c r="G164" s="1"/>
      <c r="H164" s="6"/>
      <c r="U164" s="2">
        <f>中央線快速_東京方面_平日6[[#This Row],[発車時刻(Time)]]-$D163</f>
        <v>2.7777777777777679E-3</v>
      </c>
      <c r="V164" s="4">
        <f t="shared" si="2"/>
        <v>0.9728434504792367</v>
      </c>
    </row>
    <row r="165" spans="2:22" x14ac:dyDescent="0.2">
      <c r="B165" s="17" t="s">
        <v>71</v>
      </c>
      <c r="C165" t="s">
        <v>68</v>
      </c>
      <c r="D165" s="2">
        <v>0.6479166666666667</v>
      </c>
      <c r="E165" t="s">
        <v>69</v>
      </c>
      <c r="F165" s="16">
        <v>15</v>
      </c>
      <c r="G165" s="1"/>
      <c r="H165" s="6"/>
      <c r="U165" s="2">
        <f>中央線快速_東京方面_平日6[[#This Row],[発車時刻(Time)]]-$D164</f>
        <v>2.7777777777778789E-3</v>
      </c>
      <c r="V165" s="4">
        <f t="shared" si="2"/>
        <v>0.97284345047919785</v>
      </c>
    </row>
    <row r="166" spans="2:22" x14ac:dyDescent="0.2">
      <c r="B166" s="17" t="s">
        <v>71</v>
      </c>
      <c r="C166" t="s">
        <v>68</v>
      </c>
      <c r="D166" s="2">
        <v>0.65069444444444446</v>
      </c>
      <c r="E166" t="s">
        <v>69</v>
      </c>
      <c r="F166" s="16">
        <v>15</v>
      </c>
      <c r="G166" s="1"/>
      <c r="H166" s="6"/>
      <c r="U166" s="2">
        <f>中央線快速_東京方面_平日6[[#This Row],[発車時刻(Time)]]-$D165</f>
        <v>2.7777777777777679E-3</v>
      </c>
      <c r="V166" s="4">
        <f t="shared" si="2"/>
        <v>0.9728434504792367</v>
      </c>
    </row>
    <row r="167" spans="2:22" x14ac:dyDescent="0.2">
      <c r="B167" s="17" t="s">
        <v>71</v>
      </c>
      <c r="C167" t="s">
        <v>68</v>
      </c>
      <c r="D167" s="2">
        <v>0.65347222222222223</v>
      </c>
      <c r="E167" t="s">
        <v>69</v>
      </c>
      <c r="F167" s="16">
        <v>15</v>
      </c>
      <c r="G167" s="1"/>
      <c r="H167" s="6"/>
      <c r="U167" s="2">
        <f>中央線快速_東京方面_平日6[[#This Row],[発車時刻(Time)]]-$D166</f>
        <v>2.7777777777777679E-3</v>
      </c>
      <c r="V167" s="4">
        <f t="shared" si="2"/>
        <v>0.9728434504792367</v>
      </c>
    </row>
    <row r="168" spans="2:22" x14ac:dyDescent="0.2">
      <c r="B168" s="17" t="s">
        <v>71</v>
      </c>
      <c r="C168" t="s">
        <v>68</v>
      </c>
      <c r="D168" s="2">
        <v>0.65694444444444444</v>
      </c>
      <c r="E168" t="s">
        <v>69</v>
      </c>
      <c r="F168" s="16">
        <v>15</v>
      </c>
      <c r="G168" s="1"/>
      <c r="H168" s="6"/>
      <c r="U168" s="2">
        <f>中央線快速_東京方面_平日6[[#This Row],[発車時刻(Time)]]-$D167</f>
        <v>3.4722222222222099E-3</v>
      </c>
      <c r="V168" s="4">
        <f t="shared" si="2"/>
        <v>0.77827476038338927</v>
      </c>
    </row>
    <row r="169" spans="2:22" x14ac:dyDescent="0.2">
      <c r="B169" s="17" t="s">
        <v>71</v>
      </c>
      <c r="C169" t="s">
        <v>68</v>
      </c>
      <c r="D169" s="2">
        <v>0.65972222222222221</v>
      </c>
      <c r="E169" t="s">
        <v>69</v>
      </c>
      <c r="F169" s="16">
        <v>15</v>
      </c>
      <c r="G169" s="1"/>
      <c r="H169" s="6"/>
      <c r="U169" s="2">
        <f>中央線快速_東京方面_平日6[[#This Row],[発車時刻(Time)]]-$D168</f>
        <v>2.7777777777777679E-3</v>
      </c>
      <c r="V169" s="4">
        <f t="shared" si="2"/>
        <v>0.9728434504792367</v>
      </c>
    </row>
    <row r="170" spans="2:22" x14ac:dyDescent="0.2">
      <c r="B170" s="17" t="s">
        <v>71</v>
      </c>
      <c r="C170" t="s">
        <v>68</v>
      </c>
      <c r="D170" s="2">
        <v>0.66319444444444442</v>
      </c>
      <c r="E170" t="s">
        <v>69</v>
      </c>
      <c r="F170" s="16">
        <v>15</v>
      </c>
      <c r="G170" s="1"/>
      <c r="H170" s="6"/>
      <c r="U170" s="2">
        <f>中央線快速_東京方面_平日6[[#This Row],[発車時刻(Time)]]-$D169</f>
        <v>3.4722222222222099E-3</v>
      </c>
      <c r="V170" s="4">
        <f t="shared" si="2"/>
        <v>0.77827476038338927</v>
      </c>
    </row>
    <row r="171" spans="2:22" x14ac:dyDescent="0.2">
      <c r="B171" s="17" t="s">
        <v>71</v>
      </c>
      <c r="C171" t="s">
        <v>68</v>
      </c>
      <c r="D171" s="2">
        <v>0.66597222222222219</v>
      </c>
      <c r="E171" t="s">
        <v>69</v>
      </c>
      <c r="F171" s="16">
        <v>15</v>
      </c>
      <c r="G171" s="1"/>
      <c r="H171" s="6"/>
      <c r="U171" s="2">
        <f>中央線快速_東京方面_平日6[[#This Row],[発車時刻(Time)]]-$D170</f>
        <v>2.7777777777777679E-3</v>
      </c>
      <c r="V171" s="4">
        <f t="shared" si="2"/>
        <v>0.9728434504792367</v>
      </c>
    </row>
    <row r="172" spans="2:22" x14ac:dyDescent="0.2">
      <c r="B172" s="17" t="s">
        <v>71</v>
      </c>
      <c r="C172" t="s">
        <v>68</v>
      </c>
      <c r="D172" s="2">
        <v>0.66805555555555562</v>
      </c>
      <c r="E172" t="s">
        <v>69</v>
      </c>
      <c r="F172" s="16">
        <v>15</v>
      </c>
      <c r="G172" s="1"/>
      <c r="H172" s="6"/>
      <c r="U172" s="2">
        <f>中央線快速_東京方面_平日6[[#This Row],[発車時刻(Time)]]-$D171</f>
        <v>2.083333333333437E-3</v>
      </c>
      <c r="V172" s="4">
        <f t="shared" si="2"/>
        <v>1.297124600638913</v>
      </c>
    </row>
    <row r="173" spans="2:22" x14ac:dyDescent="0.2">
      <c r="B173" s="17" t="s">
        <v>71</v>
      </c>
      <c r="C173" t="s">
        <v>68</v>
      </c>
      <c r="D173" s="2">
        <v>0.67013888888888884</v>
      </c>
      <c r="E173" t="s">
        <v>69</v>
      </c>
      <c r="F173" s="16">
        <v>15</v>
      </c>
      <c r="G173" s="1"/>
      <c r="H173" s="6"/>
      <c r="U173" s="2">
        <f>中央線快速_東京方面_平日6[[#This Row],[発車時刻(Time)]]-$D172</f>
        <v>2.0833333333332149E-3</v>
      </c>
      <c r="V173" s="4">
        <f t="shared" si="2"/>
        <v>1.2971246006390513</v>
      </c>
    </row>
    <row r="174" spans="2:22" x14ac:dyDescent="0.2">
      <c r="B174" s="17" t="s">
        <v>71</v>
      </c>
      <c r="C174" t="s">
        <v>68</v>
      </c>
      <c r="D174" s="2">
        <v>0.67222222222222217</v>
      </c>
      <c r="E174" t="s">
        <v>69</v>
      </c>
      <c r="F174" s="16">
        <v>15</v>
      </c>
      <c r="G174" s="1"/>
      <c r="H174" s="6"/>
      <c r="U174" s="2">
        <f>中央線快速_東京方面_平日6[[#This Row],[発車時刻(Time)]]-$D173</f>
        <v>2.0833333333333259E-3</v>
      </c>
      <c r="V174" s="4">
        <f t="shared" si="2"/>
        <v>1.2971246006389821</v>
      </c>
    </row>
    <row r="175" spans="2:22" x14ac:dyDescent="0.2">
      <c r="B175" s="17" t="s">
        <v>71</v>
      </c>
      <c r="C175" t="s">
        <v>68</v>
      </c>
      <c r="D175" s="2">
        <v>0.6743055555555556</v>
      </c>
      <c r="E175" t="s">
        <v>69</v>
      </c>
      <c r="F175" s="16">
        <v>15</v>
      </c>
      <c r="G175" s="1"/>
      <c r="H175" s="6"/>
      <c r="U175" s="2">
        <f>中央線快速_東京方面_平日6[[#This Row],[発車時刻(Time)]]-$D174</f>
        <v>2.083333333333437E-3</v>
      </c>
      <c r="V175" s="4">
        <f t="shared" si="2"/>
        <v>1.297124600638913</v>
      </c>
    </row>
    <row r="176" spans="2:22" x14ac:dyDescent="0.2">
      <c r="B176" s="17" t="s">
        <v>71</v>
      </c>
      <c r="C176" t="s">
        <v>68</v>
      </c>
      <c r="D176" s="2">
        <v>0.67638888888888893</v>
      </c>
      <c r="E176" t="s">
        <v>69</v>
      </c>
      <c r="F176" s="16">
        <v>15</v>
      </c>
      <c r="G176" s="1"/>
      <c r="H176" s="6"/>
      <c r="U176" s="2">
        <f>中央線快速_東京方面_平日6[[#This Row],[発車時刻(Time)]]-$D175</f>
        <v>2.0833333333333259E-3</v>
      </c>
      <c r="V176" s="4">
        <f t="shared" si="2"/>
        <v>1.2971246006389821</v>
      </c>
    </row>
    <row r="177" spans="2:22" x14ac:dyDescent="0.2">
      <c r="B177" s="17" t="s">
        <v>71</v>
      </c>
      <c r="C177" t="s">
        <v>68</v>
      </c>
      <c r="D177" s="2">
        <v>0.67847222222222225</v>
      </c>
      <c r="E177" t="s">
        <v>69</v>
      </c>
      <c r="F177" s="16">
        <v>15</v>
      </c>
      <c r="G177" s="1"/>
      <c r="H177" s="6"/>
      <c r="U177" s="2">
        <f>中央線快速_東京方面_平日6[[#This Row],[発車時刻(Time)]]-$D176</f>
        <v>2.0833333333333259E-3</v>
      </c>
      <c r="V177" s="4">
        <f t="shared" si="2"/>
        <v>1.2971246006389821</v>
      </c>
    </row>
    <row r="178" spans="2:22" x14ac:dyDescent="0.2">
      <c r="B178" s="17" t="s">
        <v>71</v>
      </c>
      <c r="C178" t="s">
        <v>68</v>
      </c>
      <c r="D178" s="2">
        <v>0.68125000000000002</v>
      </c>
      <c r="E178" t="s">
        <v>69</v>
      </c>
      <c r="F178" s="16">
        <v>15</v>
      </c>
      <c r="G178" s="1"/>
      <c r="H178" s="6"/>
      <c r="U178" s="2">
        <f>中央線快速_東京方面_平日6[[#This Row],[発車時刻(Time)]]-$D177</f>
        <v>2.7777777777777679E-3</v>
      </c>
      <c r="V178" s="4">
        <f t="shared" si="2"/>
        <v>0.9728434504792367</v>
      </c>
    </row>
    <row r="179" spans="2:22" x14ac:dyDescent="0.2">
      <c r="B179" s="17" t="s">
        <v>71</v>
      </c>
      <c r="C179" t="s">
        <v>68</v>
      </c>
      <c r="D179" s="2">
        <v>0.68333333333333324</v>
      </c>
      <c r="E179" t="s">
        <v>69</v>
      </c>
      <c r="F179" s="16">
        <v>15</v>
      </c>
      <c r="G179" s="1"/>
      <c r="H179" s="6"/>
      <c r="U179" s="2">
        <f>中央線快速_東京方面_平日6[[#This Row],[発車時刻(Time)]]-$D178</f>
        <v>2.0833333333332149E-3</v>
      </c>
      <c r="V179" s="4">
        <f t="shared" si="2"/>
        <v>1.2971246006390513</v>
      </c>
    </row>
    <row r="180" spans="2:22" x14ac:dyDescent="0.2">
      <c r="B180" s="17" t="s">
        <v>71</v>
      </c>
      <c r="C180" t="s">
        <v>68</v>
      </c>
      <c r="D180" s="2">
        <v>0.68541666666666667</v>
      </c>
      <c r="E180" t="s">
        <v>69</v>
      </c>
      <c r="F180" s="16">
        <v>15</v>
      </c>
      <c r="G180" s="1"/>
      <c r="H180" s="6"/>
      <c r="U180" s="2">
        <f>中央線快速_東京方面_平日6[[#This Row],[発車時刻(Time)]]-$D179</f>
        <v>2.083333333333437E-3</v>
      </c>
      <c r="V180" s="4">
        <f t="shared" si="2"/>
        <v>1.297124600638913</v>
      </c>
    </row>
    <row r="181" spans="2:22" x14ac:dyDescent="0.2">
      <c r="B181" s="17" t="s">
        <v>71</v>
      </c>
      <c r="C181" t="s">
        <v>68</v>
      </c>
      <c r="D181" s="2">
        <v>0.6875</v>
      </c>
      <c r="E181" t="s">
        <v>69</v>
      </c>
      <c r="F181" s="16">
        <v>15</v>
      </c>
      <c r="G181" s="1"/>
      <c r="H181" s="6"/>
      <c r="U181" s="2">
        <f>中央線快速_東京方面_平日6[[#This Row],[発車時刻(Time)]]-$D180</f>
        <v>2.0833333333333259E-3</v>
      </c>
      <c r="V181" s="4">
        <f t="shared" si="2"/>
        <v>1.2971246006389821</v>
      </c>
    </row>
    <row r="182" spans="2:22" x14ac:dyDescent="0.2">
      <c r="B182" s="17" t="s">
        <v>71</v>
      </c>
      <c r="C182" t="s">
        <v>68</v>
      </c>
      <c r="D182" s="2">
        <v>0.69027777777777777</v>
      </c>
      <c r="E182" t="s">
        <v>69</v>
      </c>
      <c r="F182" s="16">
        <v>15</v>
      </c>
      <c r="G182" s="1"/>
      <c r="H182" s="6"/>
      <c r="U182" s="2">
        <f>中央線快速_東京方面_平日6[[#This Row],[発車時刻(Time)]]-$D181</f>
        <v>2.7777777777777679E-3</v>
      </c>
      <c r="V182" s="4">
        <f t="shared" si="2"/>
        <v>0.9728434504792367</v>
      </c>
    </row>
    <row r="183" spans="2:22" x14ac:dyDescent="0.2">
      <c r="B183" s="17" t="s">
        <v>71</v>
      </c>
      <c r="C183" t="s">
        <v>68</v>
      </c>
      <c r="D183" s="2">
        <v>0.69236111111111109</v>
      </c>
      <c r="E183" t="s">
        <v>69</v>
      </c>
      <c r="F183" s="16">
        <v>15</v>
      </c>
      <c r="G183" s="1"/>
      <c r="H183" s="6"/>
      <c r="U183" s="2">
        <f>中央線快速_東京方面_平日6[[#This Row],[発車時刻(Time)]]-$D182</f>
        <v>2.0833333333333259E-3</v>
      </c>
      <c r="V183" s="4">
        <f t="shared" si="2"/>
        <v>1.2971246006389821</v>
      </c>
    </row>
    <row r="184" spans="2:22" x14ac:dyDescent="0.2">
      <c r="B184" s="17" t="s">
        <v>71</v>
      </c>
      <c r="C184" t="s">
        <v>68</v>
      </c>
      <c r="D184" s="2">
        <v>0.69513888888888886</v>
      </c>
      <c r="E184" t="s">
        <v>69</v>
      </c>
      <c r="F184" s="16">
        <v>15</v>
      </c>
      <c r="G184" s="1"/>
      <c r="H184" s="6"/>
      <c r="U184" s="2">
        <f>中央線快速_東京方面_平日6[[#This Row],[発車時刻(Time)]]-$D183</f>
        <v>2.7777777777777679E-3</v>
      </c>
      <c r="V184" s="4">
        <f t="shared" si="2"/>
        <v>0.9728434504792367</v>
      </c>
    </row>
    <row r="185" spans="2:22" x14ac:dyDescent="0.2">
      <c r="B185" s="17" t="s">
        <v>71</v>
      </c>
      <c r="C185" t="s">
        <v>68</v>
      </c>
      <c r="D185" s="2">
        <v>0.6972222222222223</v>
      </c>
      <c r="E185" t="s">
        <v>69</v>
      </c>
      <c r="F185" s="16">
        <v>15</v>
      </c>
      <c r="G185" s="1"/>
      <c r="H185" s="6"/>
      <c r="U185" s="2">
        <f>中央線快速_東京方面_平日6[[#This Row],[発車時刻(Time)]]-$D184</f>
        <v>2.083333333333437E-3</v>
      </c>
      <c r="V185" s="4">
        <f t="shared" si="2"/>
        <v>1.297124600638913</v>
      </c>
    </row>
    <row r="186" spans="2:22" x14ac:dyDescent="0.2">
      <c r="B186" s="17" t="s">
        <v>71</v>
      </c>
      <c r="C186" t="s">
        <v>68</v>
      </c>
      <c r="D186" s="2">
        <v>0.69930555555555562</v>
      </c>
      <c r="E186" t="s">
        <v>69</v>
      </c>
      <c r="F186" s="16">
        <v>15</v>
      </c>
      <c r="G186" s="1"/>
      <c r="H186" s="6"/>
      <c r="U186" s="2">
        <f>中央線快速_東京方面_平日6[[#This Row],[発車時刻(Time)]]-$D185</f>
        <v>2.0833333333333259E-3</v>
      </c>
      <c r="V186" s="4">
        <f t="shared" si="2"/>
        <v>1.2971246006389821</v>
      </c>
    </row>
    <row r="187" spans="2:22" x14ac:dyDescent="0.2">
      <c r="B187" s="17" t="s">
        <v>71</v>
      </c>
      <c r="C187" t="s">
        <v>68</v>
      </c>
      <c r="D187" s="2">
        <v>0.70208333333333339</v>
      </c>
      <c r="E187" t="s">
        <v>69</v>
      </c>
      <c r="F187" s="16">
        <v>15</v>
      </c>
      <c r="G187" s="1"/>
      <c r="H187" s="6"/>
      <c r="U187" s="2">
        <f>中央線快速_東京方面_平日6[[#This Row],[発車時刻(Time)]]-$D186</f>
        <v>2.7777777777777679E-3</v>
      </c>
      <c r="V187" s="4">
        <f t="shared" si="2"/>
        <v>0.9728434504792367</v>
      </c>
    </row>
    <row r="188" spans="2:22" x14ac:dyDescent="0.2">
      <c r="B188" s="17" t="s">
        <v>71</v>
      </c>
      <c r="C188" t="s">
        <v>68</v>
      </c>
      <c r="D188" s="2">
        <v>0.70416666666666661</v>
      </c>
      <c r="E188" t="s">
        <v>69</v>
      </c>
      <c r="F188" s="16">
        <v>15</v>
      </c>
      <c r="G188" s="1"/>
      <c r="H188" s="6"/>
      <c r="U188" s="2">
        <f>中央線快速_東京方面_平日6[[#This Row],[発車時刻(Time)]]-$D187</f>
        <v>2.0833333333332149E-3</v>
      </c>
      <c r="V188" s="4">
        <f t="shared" si="2"/>
        <v>1.2971246006390513</v>
      </c>
    </row>
    <row r="189" spans="2:22" x14ac:dyDescent="0.2">
      <c r="B189" s="17" t="s">
        <v>71</v>
      </c>
      <c r="C189" t="s">
        <v>68</v>
      </c>
      <c r="D189" s="2">
        <v>0.70624999999999993</v>
      </c>
      <c r="E189" t="s">
        <v>69</v>
      </c>
      <c r="F189" s="16">
        <v>15</v>
      </c>
      <c r="G189" s="1"/>
      <c r="H189" s="6"/>
      <c r="U189" s="2">
        <f>中央線快速_東京方面_平日6[[#This Row],[発車時刻(Time)]]-$D188</f>
        <v>2.0833333333333259E-3</v>
      </c>
      <c r="V189" s="4">
        <f t="shared" si="2"/>
        <v>1.2971246006389821</v>
      </c>
    </row>
    <row r="190" spans="2:22" x14ac:dyDescent="0.2">
      <c r="B190" s="17" t="s">
        <v>71</v>
      </c>
      <c r="C190" t="s">
        <v>68</v>
      </c>
      <c r="D190" s="2">
        <v>0.70833333333333337</v>
      </c>
      <c r="E190" t="s">
        <v>69</v>
      </c>
      <c r="F190" s="16">
        <v>15</v>
      </c>
      <c r="G190" s="1"/>
      <c r="H190" s="6"/>
      <c r="U190" s="2">
        <f>中央線快速_東京方面_平日6[[#This Row],[発車時刻(Time)]]-$D189</f>
        <v>2.083333333333437E-3</v>
      </c>
      <c r="V190" s="4">
        <f t="shared" si="2"/>
        <v>1.297124600638913</v>
      </c>
    </row>
    <row r="191" spans="2:22" x14ac:dyDescent="0.2">
      <c r="B191" s="17" t="s">
        <v>71</v>
      </c>
      <c r="C191" t="s">
        <v>68</v>
      </c>
      <c r="D191" s="2">
        <v>0.71111111111111114</v>
      </c>
      <c r="E191" t="s">
        <v>69</v>
      </c>
      <c r="F191" s="16">
        <v>15</v>
      </c>
      <c r="G191" s="1"/>
      <c r="H191" s="6"/>
      <c r="U191" s="2">
        <f>中央線快速_東京方面_平日6[[#This Row],[発車時刻(Time)]]-$D190</f>
        <v>2.7777777777777679E-3</v>
      </c>
      <c r="V191" s="4">
        <f t="shared" si="2"/>
        <v>0.9728434504792367</v>
      </c>
    </row>
    <row r="192" spans="2:22" x14ac:dyDescent="0.2">
      <c r="B192" s="17" t="s">
        <v>71</v>
      </c>
      <c r="C192" t="s">
        <v>68</v>
      </c>
      <c r="D192" s="2">
        <v>0.71319444444444446</v>
      </c>
      <c r="E192" t="s">
        <v>69</v>
      </c>
      <c r="F192" s="16">
        <v>15</v>
      </c>
      <c r="G192" s="1"/>
      <c r="H192" s="6"/>
      <c r="U192" s="2">
        <f>中央線快速_東京方面_平日6[[#This Row],[発車時刻(Time)]]-$D191</f>
        <v>2.0833333333333259E-3</v>
      </c>
      <c r="V192" s="4">
        <f t="shared" si="2"/>
        <v>1.2971246006389821</v>
      </c>
    </row>
    <row r="193" spans="2:22" x14ac:dyDescent="0.2">
      <c r="B193" s="17" t="s">
        <v>71</v>
      </c>
      <c r="C193" t="s">
        <v>68</v>
      </c>
      <c r="D193" s="2">
        <v>0.71527777777777779</v>
      </c>
      <c r="E193" t="s">
        <v>69</v>
      </c>
      <c r="F193" s="16">
        <v>15</v>
      </c>
      <c r="G193" s="1"/>
      <c r="H193" s="6"/>
      <c r="U193" s="2">
        <f>中央線快速_東京方面_平日6[[#This Row],[発車時刻(Time)]]-$D192</f>
        <v>2.0833333333333259E-3</v>
      </c>
      <c r="V193" s="4">
        <f t="shared" si="2"/>
        <v>1.2971246006389821</v>
      </c>
    </row>
    <row r="194" spans="2:22" x14ac:dyDescent="0.2">
      <c r="B194" s="17" t="s">
        <v>71</v>
      </c>
      <c r="C194" t="s">
        <v>68</v>
      </c>
      <c r="D194" s="2">
        <v>0.71736111111111101</v>
      </c>
      <c r="E194" t="s">
        <v>69</v>
      </c>
      <c r="F194" s="16">
        <v>15</v>
      </c>
      <c r="G194" s="1"/>
      <c r="H194" s="6"/>
      <c r="U194" s="2">
        <f>中央線快速_東京方面_平日6[[#This Row],[発車時刻(Time)]]-$D193</f>
        <v>2.0833333333332149E-3</v>
      </c>
      <c r="V194" s="4">
        <f t="shared" si="2"/>
        <v>1.2971246006390513</v>
      </c>
    </row>
    <row r="195" spans="2:22" x14ac:dyDescent="0.2">
      <c r="B195" s="17" t="s">
        <v>71</v>
      </c>
      <c r="C195" t="s">
        <v>68</v>
      </c>
      <c r="D195" s="2">
        <v>0.71944444444444444</v>
      </c>
      <c r="E195" t="s">
        <v>69</v>
      </c>
      <c r="F195" s="16">
        <v>15</v>
      </c>
      <c r="G195" s="1"/>
      <c r="H195" s="6"/>
      <c r="U195" s="2">
        <f>中央線快速_東京方面_平日6[[#This Row],[発車時刻(Time)]]-$D194</f>
        <v>2.083333333333437E-3</v>
      </c>
      <c r="V195" s="4">
        <f t="shared" si="2"/>
        <v>1.297124600638913</v>
      </c>
    </row>
    <row r="196" spans="2:22" x14ac:dyDescent="0.2">
      <c r="B196" s="17" t="s">
        <v>71</v>
      </c>
      <c r="C196" t="s">
        <v>68</v>
      </c>
      <c r="D196" s="2">
        <v>0.72222222222222221</v>
      </c>
      <c r="E196" t="s">
        <v>69</v>
      </c>
      <c r="F196" s="16">
        <v>15</v>
      </c>
      <c r="G196" s="1"/>
      <c r="H196" s="6"/>
      <c r="U196" s="2">
        <f>中央線快速_東京方面_平日6[[#This Row],[発車時刻(Time)]]-$D195</f>
        <v>2.7777777777777679E-3</v>
      </c>
      <c r="V196" s="4">
        <f t="shared" ref="V196:V259" si="3">IFERROR((1/(U196/$K$2)), 0)</f>
        <v>0.9728434504792367</v>
      </c>
    </row>
    <row r="197" spans="2:22" x14ac:dyDescent="0.2">
      <c r="B197" s="17" t="s">
        <v>71</v>
      </c>
      <c r="C197" t="s">
        <v>68</v>
      </c>
      <c r="D197" s="2">
        <v>0.72430555555555554</v>
      </c>
      <c r="E197" t="s">
        <v>69</v>
      </c>
      <c r="F197" s="16">
        <v>15</v>
      </c>
      <c r="G197" s="1"/>
      <c r="H197" s="6"/>
      <c r="U197" s="2">
        <f>中央線快速_東京方面_平日6[[#This Row],[発車時刻(Time)]]-$D196</f>
        <v>2.0833333333333259E-3</v>
      </c>
      <c r="V197" s="4">
        <f t="shared" si="3"/>
        <v>1.2971246006389821</v>
      </c>
    </row>
    <row r="198" spans="2:22" x14ac:dyDescent="0.2">
      <c r="B198" s="17" t="s">
        <v>71</v>
      </c>
      <c r="C198" t="s">
        <v>68</v>
      </c>
      <c r="D198" s="2">
        <v>0.72638888888888886</v>
      </c>
      <c r="E198" t="s">
        <v>69</v>
      </c>
      <c r="F198" s="16">
        <v>15</v>
      </c>
      <c r="G198" s="1"/>
      <c r="H198" s="6"/>
      <c r="U198" s="2">
        <f>中央線快速_東京方面_平日6[[#This Row],[発車時刻(Time)]]-$D197</f>
        <v>2.0833333333333259E-3</v>
      </c>
      <c r="V198" s="4">
        <f t="shared" si="3"/>
        <v>1.2971246006389821</v>
      </c>
    </row>
    <row r="199" spans="2:22" x14ac:dyDescent="0.2">
      <c r="B199" s="17" t="s">
        <v>71</v>
      </c>
      <c r="C199" t="s">
        <v>68</v>
      </c>
      <c r="D199" s="2">
        <v>0.73055555555555562</v>
      </c>
      <c r="E199" t="s">
        <v>69</v>
      </c>
      <c r="F199" s="16">
        <v>15</v>
      </c>
      <c r="G199" s="1"/>
      <c r="H199" s="6"/>
      <c r="U199" s="2">
        <f>中央線快速_東京方面_平日6[[#This Row],[発車時刻(Time)]]-$D198</f>
        <v>4.1666666666667629E-3</v>
      </c>
      <c r="V199" s="4">
        <f t="shared" si="3"/>
        <v>0.64856230031947382</v>
      </c>
    </row>
    <row r="200" spans="2:22" x14ac:dyDescent="0.2">
      <c r="B200" s="17" t="s">
        <v>71</v>
      </c>
      <c r="C200" t="s">
        <v>68</v>
      </c>
      <c r="D200" s="2">
        <v>0.73333333333333339</v>
      </c>
      <c r="E200" t="s">
        <v>69</v>
      </c>
      <c r="F200" s="16">
        <v>15</v>
      </c>
      <c r="G200" s="1"/>
      <c r="H200" s="6"/>
      <c r="U200" s="2">
        <f>中央線快速_東京方面_平日6[[#This Row],[発車時刻(Time)]]-$D199</f>
        <v>2.7777777777777679E-3</v>
      </c>
      <c r="V200" s="4">
        <f t="shared" si="3"/>
        <v>0.9728434504792367</v>
      </c>
    </row>
    <row r="201" spans="2:22" x14ac:dyDescent="0.2">
      <c r="B201" s="17" t="s">
        <v>71</v>
      </c>
      <c r="C201" t="s">
        <v>68</v>
      </c>
      <c r="D201" s="2">
        <v>0.73541666666666661</v>
      </c>
      <c r="E201" t="s">
        <v>69</v>
      </c>
      <c r="F201" s="16">
        <v>15</v>
      </c>
      <c r="G201" s="1"/>
      <c r="H201" s="6"/>
      <c r="U201" s="2">
        <f>中央線快速_東京方面_平日6[[#This Row],[発車時刻(Time)]]-$D200</f>
        <v>2.0833333333332149E-3</v>
      </c>
      <c r="V201" s="4">
        <f t="shared" si="3"/>
        <v>1.2971246006390513</v>
      </c>
    </row>
    <row r="202" spans="2:22" x14ac:dyDescent="0.2">
      <c r="B202" s="17" t="s">
        <v>71</v>
      </c>
      <c r="C202" t="s">
        <v>68</v>
      </c>
      <c r="D202" s="2">
        <v>0.73749999999999993</v>
      </c>
      <c r="E202" t="s">
        <v>69</v>
      </c>
      <c r="F202" s="16">
        <v>15</v>
      </c>
      <c r="G202" s="1"/>
      <c r="H202" s="6"/>
      <c r="U202" s="2">
        <f>中央線快速_東京方面_平日6[[#This Row],[発車時刻(Time)]]-$D201</f>
        <v>2.0833333333333259E-3</v>
      </c>
      <c r="V202" s="4">
        <f t="shared" si="3"/>
        <v>1.2971246006389821</v>
      </c>
    </row>
    <row r="203" spans="2:22" x14ac:dyDescent="0.2">
      <c r="B203" s="17" t="s">
        <v>71</v>
      </c>
      <c r="C203" t="s">
        <v>68</v>
      </c>
      <c r="D203" s="2">
        <v>0.73958333333333337</v>
      </c>
      <c r="E203" t="s">
        <v>69</v>
      </c>
      <c r="F203" s="16">
        <v>15</v>
      </c>
      <c r="G203" s="1"/>
      <c r="H203" s="6"/>
      <c r="U203" s="2">
        <f>中央線快速_東京方面_平日6[[#This Row],[発車時刻(Time)]]-$D202</f>
        <v>2.083333333333437E-3</v>
      </c>
      <c r="V203" s="4">
        <f t="shared" si="3"/>
        <v>1.297124600638913</v>
      </c>
    </row>
    <row r="204" spans="2:22" x14ac:dyDescent="0.2">
      <c r="B204" s="17" t="s">
        <v>71</v>
      </c>
      <c r="C204" t="s">
        <v>68</v>
      </c>
      <c r="D204" s="2">
        <v>0.74236111111111114</v>
      </c>
      <c r="E204" t="s">
        <v>69</v>
      </c>
      <c r="F204" s="16">
        <v>15</v>
      </c>
      <c r="G204" s="1"/>
      <c r="H204" s="6"/>
      <c r="U204" s="2">
        <f>中央線快速_東京方面_平日6[[#This Row],[発車時刻(Time)]]-$D203</f>
        <v>2.7777777777777679E-3</v>
      </c>
      <c r="V204" s="4">
        <f t="shared" si="3"/>
        <v>0.9728434504792367</v>
      </c>
    </row>
    <row r="205" spans="2:22" x14ac:dyDescent="0.2">
      <c r="B205" s="17" t="s">
        <v>71</v>
      </c>
      <c r="C205" t="s">
        <v>68</v>
      </c>
      <c r="D205" s="2">
        <v>0.74444444444444446</v>
      </c>
      <c r="E205" t="s">
        <v>69</v>
      </c>
      <c r="F205" s="16">
        <v>15</v>
      </c>
      <c r="G205" s="1"/>
      <c r="H205" s="6"/>
      <c r="U205" s="2">
        <f>中央線快速_東京方面_平日6[[#This Row],[発車時刻(Time)]]-$D204</f>
        <v>2.0833333333333259E-3</v>
      </c>
      <c r="V205" s="4">
        <f t="shared" si="3"/>
        <v>1.2971246006389821</v>
      </c>
    </row>
    <row r="206" spans="2:22" x14ac:dyDescent="0.2">
      <c r="B206" s="17" t="s">
        <v>71</v>
      </c>
      <c r="C206" t="s">
        <v>68</v>
      </c>
      <c r="D206" s="2">
        <v>0.74652777777777779</v>
      </c>
      <c r="E206" t="s">
        <v>69</v>
      </c>
      <c r="F206" s="16">
        <v>15</v>
      </c>
      <c r="G206" s="1"/>
      <c r="H206" s="6"/>
      <c r="U206" s="2">
        <f>中央線快速_東京方面_平日6[[#This Row],[発車時刻(Time)]]-$D205</f>
        <v>2.0833333333333259E-3</v>
      </c>
      <c r="V206" s="4">
        <f t="shared" si="3"/>
        <v>1.2971246006389821</v>
      </c>
    </row>
    <row r="207" spans="2:22" x14ac:dyDescent="0.2">
      <c r="B207" s="17" t="s">
        <v>71</v>
      </c>
      <c r="C207" t="s">
        <v>68</v>
      </c>
      <c r="D207" s="2">
        <v>0.74861111111111101</v>
      </c>
      <c r="E207" t="s">
        <v>69</v>
      </c>
      <c r="F207" s="16">
        <v>15</v>
      </c>
      <c r="G207" s="1"/>
      <c r="H207" s="6"/>
      <c r="U207" s="2">
        <f>中央線快速_東京方面_平日6[[#This Row],[発車時刻(Time)]]-$D206</f>
        <v>2.0833333333332149E-3</v>
      </c>
      <c r="V207" s="4">
        <f t="shared" si="3"/>
        <v>1.2971246006390513</v>
      </c>
    </row>
    <row r="208" spans="2:22" x14ac:dyDescent="0.2">
      <c r="B208" s="17" t="s">
        <v>71</v>
      </c>
      <c r="C208" t="s">
        <v>68</v>
      </c>
      <c r="D208" s="2">
        <v>0.75138888888888899</v>
      </c>
      <c r="E208" t="s">
        <v>69</v>
      </c>
      <c r="F208" s="16">
        <v>15</v>
      </c>
      <c r="G208" s="1"/>
      <c r="H208" s="6"/>
      <c r="U208" s="2">
        <f>中央線快速_東京方面_平日6[[#This Row],[発車時刻(Time)]]-$D207</f>
        <v>2.77777777777799E-3</v>
      </c>
      <c r="V208" s="4">
        <f t="shared" si="3"/>
        <v>0.97284345047915899</v>
      </c>
    </row>
    <row r="209" spans="2:22" x14ac:dyDescent="0.2">
      <c r="B209" s="17" t="s">
        <v>71</v>
      </c>
      <c r="C209" t="s">
        <v>68</v>
      </c>
      <c r="D209" s="2">
        <v>0.75347222222222221</v>
      </c>
      <c r="E209" t="s">
        <v>69</v>
      </c>
      <c r="F209" s="16">
        <v>15</v>
      </c>
      <c r="G209" s="1"/>
      <c r="H209" s="6"/>
      <c r="U209" s="2">
        <f>中央線快速_東京方面_平日6[[#This Row],[発車時刻(Time)]]-$D208</f>
        <v>2.0833333333332149E-3</v>
      </c>
      <c r="V209" s="4">
        <f t="shared" si="3"/>
        <v>1.2971246006390513</v>
      </c>
    </row>
    <row r="210" spans="2:22" x14ac:dyDescent="0.2">
      <c r="B210" s="17" t="s">
        <v>71</v>
      </c>
      <c r="C210" t="s">
        <v>68</v>
      </c>
      <c r="D210" s="2">
        <v>0.75555555555555554</v>
      </c>
      <c r="E210" t="s">
        <v>69</v>
      </c>
      <c r="F210" s="16">
        <v>15</v>
      </c>
      <c r="G210" s="1"/>
      <c r="H210" s="6"/>
      <c r="U210" s="2">
        <f>中央線快速_東京方面_平日6[[#This Row],[発車時刻(Time)]]-$D209</f>
        <v>2.0833333333333259E-3</v>
      </c>
      <c r="V210" s="4">
        <f t="shared" si="3"/>
        <v>1.2971246006389821</v>
      </c>
    </row>
    <row r="211" spans="2:22" x14ac:dyDescent="0.2">
      <c r="B211" s="17" t="s">
        <v>71</v>
      </c>
      <c r="C211" t="s">
        <v>68</v>
      </c>
      <c r="D211" s="2">
        <v>0.75763888888888886</v>
      </c>
      <c r="E211" t="s">
        <v>69</v>
      </c>
      <c r="F211" s="16">
        <v>15</v>
      </c>
      <c r="G211" s="1"/>
      <c r="H211" s="6"/>
      <c r="U211" s="2">
        <f>中央線快速_東京方面_平日6[[#This Row],[発車時刻(Time)]]-$D210</f>
        <v>2.0833333333333259E-3</v>
      </c>
      <c r="V211" s="4">
        <f t="shared" si="3"/>
        <v>1.2971246006389821</v>
      </c>
    </row>
    <row r="212" spans="2:22" x14ac:dyDescent="0.2">
      <c r="B212" s="17" t="s">
        <v>71</v>
      </c>
      <c r="C212" t="s">
        <v>68</v>
      </c>
      <c r="D212" s="2">
        <v>0.76041666666666663</v>
      </c>
      <c r="E212" t="s">
        <v>69</v>
      </c>
      <c r="F212" s="16">
        <v>15</v>
      </c>
      <c r="G212" s="1"/>
      <c r="H212" s="6"/>
      <c r="U212" s="2">
        <f>中央線快速_東京方面_平日6[[#This Row],[発車時刻(Time)]]-$D211</f>
        <v>2.7777777777777679E-3</v>
      </c>
      <c r="V212" s="4">
        <f t="shared" si="3"/>
        <v>0.9728434504792367</v>
      </c>
    </row>
    <row r="213" spans="2:22" x14ac:dyDescent="0.2">
      <c r="B213" s="17" t="s">
        <v>71</v>
      </c>
      <c r="C213" t="s">
        <v>68</v>
      </c>
      <c r="D213" s="2">
        <v>0.76250000000000007</v>
      </c>
      <c r="E213" t="s">
        <v>69</v>
      </c>
      <c r="F213" s="16">
        <v>15</v>
      </c>
      <c r="G213" s="1"/>
      <c r="H213" s="6"/>
      <c r="U213" s="2">
        <f>中央線快速_東京方面_平日6[[#This Row],[発車時刻(Time)]]-$D212</f>
        <v>2.083333333333437E-3</v>
      </c>
      <c r="V213" s="4">
        <f t="shared" si="3"/>
        <v>1.297124600638913</v>
      </c>
    </row>
    <row r="214" spans="2:22" x14ac:dyDescent="0.2">
      <c r="B214" s="17" t="s">
        <v>71</v>
      </c>
      <c r="C214" t="s">
        <v>68</v>
      </c>
      <c r="D214" s="2">
        <v>0.76458333333333339</v>
      </c>
      <c r="E214" t="s">
        <v>69</v>
      </c>
      <c r="F214" s="16">
        <v>15</v>
      </c>
      <c r="G214" s="1"/>
      <c r="H214" s="6"/>
      <c r="U214" s="2">
        <f>中央線快速_東京方面_平日6[[#This Row],[発車時刻(Time)]]-$D213</f>
        <v>2.0833333333333259E-3</v>
      </c>
      <c r="V214" s="4">
        <f t="shared" si="3"/>
        <v>1.2971246006389821</v>
      </c>
    </row>
    <row r="215" spans="2:22" x14ac:dyDescent="0.2">
      <c r="B215" s="17" t="s">
        <v>71</v>
      </c>
      <c r="C215" t="s">
        <v>68</v>
      </c>
      <c r="D215" s="2">
        <v>0.76736111111111116</v>
      </c>
      <c r="E215" t="s">
        <v>69</v>
      </c>
      <c r="F215" s="16">
        <v>15</v>
      </c>
      <c r="G215" s="1"/>
      <c r="H215" s="6"/>
      <c r="U215" s="2">
        <f>中央線快速_東京方面_平日6[[#This Row],[発車時刻(Time)]]-$D214</f>
        <v>2.7777777777777679E-3</v>
      </c>
      <c r="V215" s="4">
        <f t="shared" si="3"/>
        <v>0.9728434504792367</v>
      </c>
    </row>
    <row r="216" spans="2:22" x14ac:dyDescent="0.2">
      <c r="B216" s="17" t="s">
        <v>71</v>
      </c>
      <c r="C216" t="s">
        <v>68</v>
      </c>
      <c r="D216" s="2">
        <v>0.76944444444444438</v>
      </c>
      <c r="E216" t="s">
        <v>69</v>
      </c>
      <c r="F216" s="16">
        <v>15</v>
      </c>
      <c r="G216" s="1"/>
      <c r="H216" s="6"/>
      <c r="U216" s="2">
        <f>中央線快速_東京方面_平日6[[#This Row],[発車時刻(Time)]]-$D215</f>
        <v>2.0833333333332149E-3</v>
      </c>
      <c r="V216" s="4">
        <f t="shared" si="3"/>
        <v>1.2971246006390513</v>
      </c>
    </row>
    <row r="217" spans="2:22" x14ac:dyDescent="0.2">
      <c r="B217" s="17" t="s">
        <v>71</v>
      </c>
      <c r="C217" t="s">
        <v>68</v>
      </c>
      <c r="D217" s="2">
        <v>0.7715277777777777</v>
      </c>
      <c r="E217" t="s">
        <v>69</v>
      </c>
      <c r="F217" s="16">
        <v>15</v>
      </c>
      <c r="G217" s="1"/>
      <c r="H217" s="6"/>
      <c r="U217" s="2">
        <f>中央線快速_東京方面_平日6[[#This Row],[発車時刻(Time)]]-$D216</f>
        <v>2.0833333333333259E-3</v>
      </c>
      <c r="V217" s="4">
        <f t="shared" si="3"/>
        <v>1.2971246006389821</v>
      </c>
    </row>
    <row r="218" spans="2:22" x14ac:dyDescent="0.2">
      <c r="B218" s="17" t="s">
        <v>71</v>
      </c>
      <c r="C218" t="s">
        <v>68</v>
      </c>
      <c r="D218" s="2">
        <v>0.77361111111111114</v>
      </c>
      <c r="E218" t="s">
        <v>69</v>
      </c>
      <c r="F218" s="16">
        <v>15</v>
      </c>
      <c r="G218" s="1"/>
      <c r="H218" s="6"/>
      <c r="U218" s="2">
        <f>中央線快速_東京方面_平日6[[#This Row],[発車時刻(Time)]]-$D217</f>
        <v>2.083333333333437E-3</v>
      </c>
      <c r="V218" s="4">
        <f t="shared" si="3"/>
        <v>1.297124600638913</v>
      </c>
    </row>
    <row r="219" spans="2:22" x14ac:dyDescent="0.2">
      <c r="B219" s="17" t="s">
        <v>71</v>
      </c>
      <c r="C219" t="s">
        <v>68</v>
      </c>
      <c r="D219" s="2">
        <v>0.77569444444444446</v>
      </c>
      <c r="E219" t="s">
        <v>69</v>
      </c>
      <c r="F219" s="16">
        <v>15</v>
      </c>
      <c r="G219" s="1"/>
      <c r="H219" s="6"/>
      <c r="U219" s="2">
        <f>中央線快速_東京方面_平日6[[#This Row],[発車時刻(Time)]]-$D218</f>
        <v>2.0833333333333259E-3</v>
      </c>
      <c r="V219" s="4">
        <f t="shared" si="3"/>
        <v>1.2971246006389821</v>
      </c>
    </row>
    <row r="220" spans="2:22" x14ac:dyDescent="0.2">
      <c r="B220" s="17" t="s">
        <v>71</v>
      </c>
      <c r="C220" t="s">
        <v>68</v>
      </c>
      <c r="D220" s="2">
        <v>0.77847222222222223</v>
      </c>
      <c r="E220" t="s">
        <v>69</v>
      </c>
      <c r="F220" s="16">
        <v>15</v>
      </c>
      <c r="G220" s="1"/>
      <c r="H220" s="6"/>
      <c r="U220" s="2">
        <f>中央線快速_東京方面_平日6[[#This Row],[発車時刻(Time)]]-$D219</f>
        <v>2.7777777777777679E-3</v>
      </c>
      <c r="V220" s="4">
        <f t="shared" si="3"/>
        <v>0.9728434504792367</v>
      </c>
    </row>
    <row r="221" spans="2:22" x14ac:dyDescent="0.2">
      <c r="B221" s="17" t="s">
        <v>71</v>
      </c>
      <c r="C221" t="s">
        <v>68</v>
      </c>
      <c r="D221" s="2">
        <v>0.78055555555555556</v>
      </c>
      <c r="E221" t="s">
        <v>69</v>
      </c>
      <c r="F221" s="16">
        <v>15</v>
      </c>
      <c r="G221" s="1"/>
      <c r="H221" s="6"/>
      <c r="U221" s="2">
        <f>中央線快速_東京方面_平日6[[#This Row],[発車時刻(Time)]]-$D220</f>
        <v>2.0833333333333259E-3</v>
      </c>
      <c r="V221" s="4">
        <f t="shared" si="3"/>
        <v>1.2971246006389821</v>
      </c>
    </row>
    <row r="222" spans="2:22" x14ac:dyDescent="0.2">
      <c r="B222" s="17" t="s">
        <v>71</v>
      </c>
      <c r="C222" t="s">
        <v>68</v>
      </c>
      <c r="D222" s="2">
        <v>0.78263888888888899</v>
      </c>
      <c r="E222" t="s">
        <v>69</v>
      </c>
      <c r="F222" s="16">
        <v>15</v>
      </c>
      <c r="G222" s="1"/>
      <c r="H222" s="6"/>
      <c r="U222" s="2">
        <f>中央線快速_東京方面_平日6[[#This Row],[発車時刻(Time)]]-$D221</f>
        <v>2.083333333333437E-3</v>
      </c>
      <c r="V222" s="4">
        <f t="shared" si="3"/>
        <v>1.297124600638913</v>
      </c>
    </row>
    <row r="223" spans="2:22" x14ac:dyDescent="0.2">
      <c r="B223" s="17" t="s">
        <v>71</v>
      </c>
      <c r="C223" t="s">
        <v>68</v>
      </c>
      <c r="D223" s="2">
        <v>0.78472222222222221</v>
      </c>
      <c r="E223" t="s">
        <v>69</v>
      </c>
      <c r="F223" s="16">
        <v>15</v>
      </c>
      <c r="G223" s="1"/>
      <c r="H223" s="6"/>
      <c r="U223" s="2">
        <f>中央線快速_東京方面_平日6[[#This Row],[発車時刻(Time)]]-$D222</f>
        <v>2.0833333333332149E-3</v>
      </c>
      <c r="V223" s="4">
        <f t="shared" si="3"/>
        <v>1.2971246006390513</v>
      </c>
    </row>
    <row r="224" spans="2:22" x14ac:dyDescent="0.2">
      <c r="B224" s="17" t="s">
        <v>71</v>
      </c>
      <c r="C224" t="s">
        <v>68</v>
      </c>
      <c r="D224" s="2">
        <v>0.78749999999999998</v>
      </c>
      <c r="E224" t="s">
        <v>69</v>
      </c>
      <c r="F224" s="16">
        <v>15</v>
      </c>
      <c r="G224" s="1"/>
      <c r="H224" s="6"/>
      <c r="U224" s="2">
        <f>中央線快速_東京方面_平日6[[#This Row],[発車時刻(Time)]]-$D223</f>
        <v>2.7777777777777679E-3</v>
      </c>
      <c r="V224" s="4">
        <f t="shared" si="3"/>
        <v>0.9728434504792367</v>
      </c>
    </row>
    <row r="225" spans="2:22" x14ac:dyDescent="0.2">
      <c r="B225" s="17" t="s">
        <v>71</v>
      </c>
      <c r="C225" t="s">
        <v>68</v>
      </c>
      <c r="D225" s="2">
        <v>0.7895833333333333</v>
      </c>
      <c r="E225" t="s">
        <v>69</v>
      </c>
      <c r="F225" s="16">
        <v>15</v>
      </c>
      <c r="G225" s="1"/>
      <c r="H225" s="6"/>
      <c r="U225" s="2">
        <f>中央線快速_東京方面_平日6[[#This Row],[発車時刻(Time)]]-$D224</f>
        <v>2.0833333333333259E-3</v>
      </c>
      <c r="V225" s="4">
        <f t="shared" si="3"/>
        <v>1.2971246006389821</v>
      </c>
    </row>
    <row r="226" spans="2:22" x14ac:dyDescent="0.2">
      <c r="B226" s="17" t="s">
        <v>71</v>
      </c>
      <c r="C226" t="s">
        <v>68</v>
      </c>
      <c r="D226" s="2">
        <v>0.79166666666666663</v>
      </c>
      <c r="E226" t="s">
        <v>69</v>
      </c>
      <c r="F226" s="16">
        <v>15</v>
      </c>
      <c r="G226" s="1"/>
      <c r="H226" s="6"/>
      <c r="U226" s="2">
        <f>中央線快速_東京方面_平日6[[#This Row],[発車時刻(Time)]]-$D225</f>
        <v>2.0833333333333259E-3</v>
      </c>
      <c r="V226" s="4">
        <f t="shared" si="3"/>
        <v>1.2971246006389821</v>
      </c>
    </row>
    <row r="227" spans="2:22" x14ac:dyDescent="0.2">
      <c r="B227" s="17" t="s">
        <v>71</v>
      </c>
      <c r="C227" t="s">
        <v>68</v>
      </c>
      <c r="D227" s="2">
        <v>0.79375000000000007</v>
      </c>
      <c r="E227" t="s">
        <v>69</v>
      </c>
      <c r="F227" s="16">
        <v>15</v>
      </c>
      <c r="G227" s="1"/>
      <c r="H227" s="6"/>
      <c r="U227" s="2">
        <f>中央線快速_東京方面_平日6[[#This Row],[発車時刻(Time)]]-$D226</f>
        <v>2.083333333333437E-3</v>
      </c>
      <c r="V227" s="4">
        <f t="shared" si="3"/>
        <v>1.297124600638913</v>
      </c>
    </row>
    <row r="228" spans="2:22" x14ac:dyDescent="0.2">
      <c r="B228" s="17" t="s">
        <v>71</v>
      </c>
      <c r="C228" t="s">
        <v>68</v>
      </c>
      <c r="D228" s="2">
        <v>0.79652777777777783</v>
      </c>
      <c r="E228" t="s">
        <v>69</v>
      </c>
      <c r="F228" s="16">
        <v>15</v>
      </c>
      <c r="G228" s="1"/>
      <c r="H228" s="6"/>
      <c r="U228" s="2">
        <f>中央線快速_東京方面_平日6[[#This Row],[発車時刻(Time)]]-$D227</f>
        <v>2.7777777777777679E-3</v>
      </c>
      <c r="V228" s="4">
        <f t="shared" si="3"/>
        <v>0.9728434504792367</v>
      </c>
    </row>
    <row r="229" spans="2:22" x14ac:dyDescent="0.2">
      <c r="B229" s="17" t="s">
        <v>71</v>
      </c>
      <c r="C229" t="s">
        <v>68</v>
      </c>
      <c r="D229" s="2">
        <v>0.79861111111111116</v>
      </c>
      <c r="E229" t="s">
        <v>69</v>
      </c>
      <c r="F229" s="16">
        <v>15</v>
      </c>
      <c r="G229" s="1"/>
      <c r="H229" s="6"/>
      <c r="U229" s="2">
        <f>中央線快速_東京方面_平日6[[#This Row],[発車時刻(Time)]]-$D228</f>
        <v>2.0833333333333259E-3</v>
      </c>
      <c r="V229" s="4">
        <f t="shared" si="3"/>
        <v>1.2971246006389821</v>
      </c>
    </row>
    <row r="230" spans="2:22" x14ac:dyDescent="0.2">
      <c r="B230" s="17" t="s">
        <v>71</v>
      </c>
      <c r="C230" t="s">
        <v>68</v>
      </c>
      <c r="D230" s="2">
        <v>0.80069444444444438</v>
      </c>
      <c r="E230" t="s">
        <v>69</v>
      </c>
      <c r="F230" s="16">
        <v>15</v>
      </c>
      <c r="G230" s="1"/>
      <c r="H230" s="6"/>
      <c r="U230" s="2">
        <f>中央線快速_東京方面_平日6[[#This Row],[発車時刻(Time)]]-$D229</f>
        <v>2.0833333333332149E-3</v>
      </c>
      <c r="V230" s="4">
        <f t="shared" si="3"/>
        <v>1.2971246006390513</v>
      </c>
    </row>
    <row r="231" spans="2:22" x14ac:dyDescent="0.2">
      <c r="B231" s="17" t="s">
        <v>71</v>
      </c>
      <c r="C231" t="s">
        <v>68</v>
      </c>
      <c r="D231" s="2">
        <v>0.8027777777777777</v>
      </c>
      <c r="E231" t="s">
        <v>69</v>
      </c>
      <c r="F231" s="16">
        <v>15</v>
      </c>
      <c r="G231" s="1"/>
      <c r="H231" s="6"/>
      <c r="U231" s="2">
        <f>中央線快速_東京方面_平日6[[#This Row],[発車時刻(Time)]]-$D230</f>
        <v>2.0833333333333259E-3</v>
      </c>
      <c r="V231" s="4">
        <f t="shared" si="3"/>
        <v>1.2971246006389821</v>
      </c>
    </row>
    <row r="232" spans="2:22" x14ac:dyDescent="0.2">
      <c r="B232" s="17" t="s">
        <v>71</v>
      </c>
      <c r="C232" t="s">
        <v>68</v>
      </c>
      <c r="D232" s="2">
        <v>0.80555555555555547</v>
      </c>
      <c r="E232" t="s">
        <v>69</v>
      </c>
      <c r="F232" s="16">
        <v>15</v>
      </c>
      <c r="G232" s="1"/>
      <c r="H232" s="6"/>
      <c r="U232" s="2">
        <f>中央線快速_東京方面_平日6[[#This Row],[発車時刻(Time)]]-$D231</f>
        <v>2.7777777777777679E-3</v>
      </c>
      <c r="V232" s="4">
        <f t="shared" si="3"/>
        <v>0.9728434504792367</v>
      </c>
    </row>
    <row r="233" spans="2:22" x14ac:dyDescent="0.2">
      <c r="B233" s="17" t="s">
        <v>71</v>
      </c>
      <c r="C233" t="s">
        <v>68</v>
      </c>
      <c r="D233" s="2">
        <v>0.80763888888888891</v>
      </c>
      <c r="E233" t="s">
        <v>69</v>
      </c>
      <c r="F233" s="16">
        <v>15</v>
      </c>
      <c r="G233" s="1"/>
      <c r="H233" s="6"/>
      <c r="U233" s="2">
        <f>中央線快速_東京方面_平日6[[#This Row],[発車時刻(Time)]]-$D232</f>
        <v>2.083333333333437E-3</v>
      </c>
      <c r="V233" s="4">
        <f t="shared" si="3"/>
        <v>1.297124600638913</v>
      </c>
    </row>
    <row r="234" spans="2:22" x14ac:dyDescent="0.2">
      <c r="B234" s="17" t="s">
        <v>71</v>
      </c>
      <c r="C234" t="s">
        <v>68</v>
      </c>
      <c r="D234" s="2">
        <v>0.80972222222222223</v>
      </c>
      <c r="E234" t="s">
        <v>69</v>
      </c>
      <c r="F234" s="16">
        <v>15</v>
      </c>
      <c r="G234" s="1"/>
      <c r="H234" s="6"/>
      <c r="U234" s="2">
        <f>中央線快速_東京方面_平日6[[#This Row],[発車時刻(Time)]]-$D233</f>
        <v>2.0833333333333259E-3</v>
      </c>
      <c r="V234" s="4">
        <f t="shared" si="3"/>
        <v>1.2971246006389821</v>
      </c>
    </row>
    <row r="235" spans="2:22" x14ac:dyDescent="0.2">
      <c r="B235" s="17" t="s">
        <v>71</v>
      </c>
      <c r="C235" t="s">
        <v>68</v>
      </c>
      <c r="D235" s="2">
        <v>0.81180555555555556</v>
      </c>
      <c r="E235" t="s">
        <v>69</v>
      </c>
      <c r="F235" s="16">
        <v>15</v>
      </c>
      <c r="G235" s="1"/>
      <c r="H235" s="6"/>
      <c r="U235" s="2">
        <f>中央線快速_東京方面_平日6[[#This Row],[発車時刻(Time)]]-$D234</f>
        <v>2.0833333333333259E-3</v>
      </c>
      <c r="V235" s="4">
        <f t="shared" si="3"/>
        <v>1.2971246006389821</v>
      </c>
    </row>
    <row r="236" spans="2:22" x14ac:dyDescent="0.2">
      <c r="B236" s="17" t="s">
        <v>71</v>
      </c>
      <c r="C236" t="s">
        <v>68</v>
      </c>
      <c r="D236" s="2">
        <v>0.81388888888888899</v>
      </c>
      <c r="E236" t="s">
        <v>69</v>
      </c>
      <c r="F236" s="16">
        <v>15</v>
      </c>
      <c r="G236" s="1"/>
      <c r="H236" s="6"/>
      <c r="U236" s="2">
        <f>中央線快速_東京方面_平日6[[#This Row],[発車時刻(Time)]]-$D235</f>
        <v>2.083333333333437E-3</v>
      </c>
      <c r="V236" s="4">
        <f t="shared" si="3"/>
        <v>1.297124600638913</v>
      </c>
    </row>
    <row r="237" spans="2:22" x14ac:dyDescent="0.2">
      <c r="B237" s="17" t="s">
        <v>71</v>
      </c>
      <c r="C237" t="s">
        <v>68</v>
      </c>
      <c r="D237" s="2">
        <v>0.81666666666666676</v>
      </c>
      <c r="E237" t="s">
        <v>69</v>
      </c>
      <c r="F237" s="16">
        <v>15</v>
      </c>
      <c r="G237" s="1"/>
      <c r="H237" s="6"/>
      <c r="U237" s="2">
        <f>中央線快速_東京方面_平日6[[#This Row],[発車時刻(Time)]]-$D236</f>
        <v>2.7777777777777679E-3</v>
      </c>
      <c r="V237" s="4">
        <f t="shared" si="3"/>
        <v>0.9728434504792367</v>
      </c>
    </row>
    <row r="238" spans="2:22" x14ac:dyDescent="0.2">
      <c r="B238" s="17" t="s">
        <v>71</v>
      </c>
      <c r="C238" t="s">
        <v>68</v>
      </c>
      <c r="D238" s="2">
        <v>0.81874999999999998</v>
      </c>
      <c r="E238" t="s">
        <v>69</v>
      </c>
      <c r="F238" s="16">
        <v>15</v>
      </c>
      <c r="G238" s="1"/>
      <c r="H238" s="6"/>
      <c r="U238" s="2">
        <f>中央線快速_東京方面_平日6[[#This Row],[発車時刻(Time)]]-$D237</f>
        <v>2.0833333333332149E-3</v>
      </c>
      <c r="V238" s="4">
        <f t="shared" si="3"/>
        <v>1.2971246006390513</v>
      </c>
    </row>
    <row r="239" spans="2:22" x14ac:dyDescent="0.2">
      <c r="B239" s="17" t="s">
        <v>71</v>
      </c>
      <c r="C239" t="s">
        <v>68</v>
      </c>
      <c r="D239" s="2">
        <v>0.8208333333333333</v>
      </c>
      <c r="E239" t="s">
        <v>69</v>
      </c>
      <c r="F239" s="16">
        <v>15</v>
      </c>
      <c r="G239" s="1"/>
      <c r="H239" s="6"/>
      <c r="U239" s="2">
        <f>中央線快速_東京方面_平日6[[#This Row],[発車時刻(Time)]]-$D238</f>
        <v>2.0833333333333259E-3</v>
      </c>
      <c r="V239" s="4">
        <f t="shared" si="3"/>
        <v>1.2971246006389821</v>
      </c>
    </row>
    <row r="240" spans="2:22" x14ac:dyDescent="0.2">
      <c r="B240" s="17" t="s">
        <v>71</v>
      </c>
      <c r="C240" t="s">
        <v>68</v>
      </c>
      <c r="D240" s="2">
        <v>0.82291666666666663</v>
      </c>
      <c r="E240" t="s">
        <v>69</v>
      </c>
      <c r="F240" s="16">
        <v>15</v>
      </c>
      <c r="G240" s="1"/>
      <c r="H240" s="6"/>
      <c r="U240" s="2">
        <f>中央線快速_東京方面_平日6[[#This Row],[発車時刻(Time)]]-$D239</f>
        <v>2.0833333333333259E-3</v>
      </c>
      <c r="V240" s="4">
        <f t="shared" si="3"/>
        <v>1.2971246006389821</v>
      </c>
    </row>
    <row r="241" spans="2:22" x14ac:dyDescent="0.2">
      <c r="B241" s="17" t="s">
        <v>71</v>
      </c>
      <c r="C241" t="s">
        <v>68</v>
      </c>
      <c r="D241" s="2">
        <v>0.8256944444444444</v>
      </c>
      <c r="E241" t="s">
        <v>69</v>
      </c>
      <c r="F241" s="16">
        <v>15</v>
      </c>
      <c r="G241" s="1"/>
      <c r="H241" s="6"/>
      <c r="U241" s="2">
        <f>中央線快速_東京方面_平日6[[#This Row],[発車時刻(Time)]]-$D240</f>
        <v>2.7777777777777679E-3</v>
      </c>
      <c r="V241" s="4">
        <f t="shared" si="3"/>
        <v>0.9728434504792367</v>
      </c>
    </row>
    <row r="242" spans="2:22" x14ac:dyDescent="0.2">
      <c r="B242" s="17" t="s">
        <v>71</v>
      </c>
      <c r="C242" t="s">
        <v>68</v>
      </c>
      <c r="D242" s="2">
        <v>0.82777777777777783</v>
      </c>
      <c r="E242" t="s">
        <v>69</v>
      </c>
      <c r="F242" s="16">
        <v>15</v>
      </c>
      <c r="G242" s="1"/>
      <c r="H242" s="6"/>
      <c r="U242" s="2">
        <f>中央線快速_東京方面_平日6[[#This Row],[発車時刻(Time)]]-$D241</f>
        <v>2.083333333333437E-3</v>
      </c>
      <c r="V242" s="4">
        <f t="shared" si="3"/>
        <v>1.297124600638913</v>
      </c>
    </row>
    <row r="243" spans="2:22" x14ac:dyDescent="0.2">
      <c r="B243" s="17" t="s">
        <v>71</v>
      </c>
      <c r="C243" t="s">
        <v>68</v>
      </c>
      <c r="D243" s="2">
        <v>0.82986111111111116</v>
      </c>
      <c r="E243" t="s">
        <v>69</v>
      </c>
      <c r="F243" s="16">
        <v>15</v>
      </c>
      <c r="G243" s="1"/>
      <c r="H243" s="6"/>
      <c r="U243" s="2">
        <f>中央線快速_東京方面_平日6[[#This Row],[発車時刻(Time)]]-$D242</f>
        <v>2.0833333333333259E-3</v>
      </c>
      <c r="V243" s="4">
        <f t="shared" si="3"/>
        <v>1.2971246006389821</v>
      </c>
    </row>
    <row r="244" spans="2:22" x14ac:dyDescent="0.2">
      <c r="B244" s="17" t="s">
        <v>71</v>
      </c>
      <c r="C244" t="s">
        <v>68</v>
      </c>
      <c r="D244" s="2">
        <v>0.83194444444444438</v>
      </c>
      <c r="E244" t="s">
        <v>69</v>
      </c>
      <c r="F244" s="16">
        <v>15</v>
      </c>
      <c r="G244" s="1"/>
      <c r="H244" s="6"/>
      <c r="U244" s="2">
        <f>中央線快速_東京方面_平日6[[#This Row],[発車時刻(Time)]]-$D243</f>
        <v>2.0833333333332149E-3</v>
      </c>
      <c r="V244" s="4">
        <f t="shared" si="3"/>
        <v>1.2971246006390513</v>
      </c>
    </row>
    <row r="245" spans="2:22" x14ac:dyDescent="0.2">
      <c r="B245" s="17" t="s">
        <v>71</v>
      </c>
      <c r="C245" t="s">
        <v>68</v>
      </c>
      <c r="D245" s="2">
        <v>0.83472222222222225</v>
      </c>
      <c r="E245" t="s">
        <v>69</v>
      </c>
      <c r="F245" s="16">
        <v>15</v>
      </c>
      <c r="G245" s="1"/>
      <c r="H245" s="6"/>
      <c r="U245" s="2">
        <f>中央線快速_東京方面_平日6[[#This Row],[発車時刻(Time)]]-$D244</f>
        <v>2.7777777777778789E-3</v>
      </c>
      <c r="V245" s="4">
        <f t="shared" si="3"/>
        <v>0.97284345047919785</v>
      </c>
    </row>
    <row r="246" spans="2:22" x14ac:dyDescent="0.2">
      <c r="B246" s="17" t="s">
        <v>71</v>
      </c>
      <c r="C246" t="s">
        <v>68</v>
      </c>
      <c r="D246" s="2">
        <v>0.83680555555555547</v>
      </c>
      <c r="E246" t="s">
        <v>69</v>
      </c>
      <c r="F246" s="16">
        <v>15</v>
      </c>
      <c r="G246" s="1"/>
      <c r="H246" s="6"/>
      <c r="U246" s="2">
        <f>中央線快速_東京方面_平日6[[#This Row],[発車時刻(Time)]]-$D245</f>
        <v>2.0833333333332149E-3</v>
      </c>
      <c r="V246" s="4">
        <f t="shared" si="3"/>
        <v>1.2971246006390513</v>
      </c>
    </row>
    <row r="247" spans="2:22" x14ac:dyDescent="0.2">
      <c r="B247" s="17" t="s">
        <v>71</v>
      </c>
      <c r="C247" t="s">
        <v>68</v>
      </c>
      <c r="D247" s="2">
        <v>0.83888888888888891</v>
      </c>
      <c r="E247" t="s">
        <v>69</v>
      </c>
      <c r="F247" s="16">
        <v>15</v>
      </c>
      <c r="G247" s="1"/>
      <c r="H247" s="6"/>
      <c r="U247" s="2">
        <f>中央線快速_東京方面_平日6[[#This Row],[発車時刻(Time)]]-$D246</f>
        <v>2.083333333333437E-3</v>
      </c>
      <c r="V247" s="4">
        <f t="shared" si="3"/>
        <v>1.297124600638913</v>
      </c>
    </row>
    <row r="248" spans="2:22" x14ac:dyDescent="0.2">
      <c r="B248" s="17" t="s">
        <v>71</v>
      </c>
      <c r="C248" t="s">
        <v>68</v>
      </c>
      <c r="D248" s="2">
        <v>0.84097222222222223</v>
      </c>
      <c r="E248" t="s">
        <v>69</v>
      </c>
      <c r="F248" s="16">
        <v>15</v>
      </c>
      <c r="G248" s="1"/>
      <c r="H248" s="6"/>
      <c r="U248" s="2">
        <f>中央線快速_東京方面_平日6[[#This Row],[発車時刻(Time)]]-$D247</f>
        <v>2.0833333333333259E-3</v>
      </c>
      <c r="V248" s="4">
        <f t="shared" si="3"/>
        <v>1.2971246006389821</v>
      </c>
    </row>
    <row r="249" spans="2:22" x14ac:dyDescent="0.2">
      <c r="B249" s="17" t="s">
        <v>71</v>
      </c>
      <c r="C249" t="s">
        <v>68</v>
      </c>
      <c r="D249" s="2">
        <v>0.84375</v>
      </c>
      <c r="E249" t="s">
        <v>69</v>
      </c>
      <c r="F249" s="16">
        <v>15</v>
      </c>
      <c r="G249" s="1"/>
      <c r="H249" s="6"/>
      <c r="U249" s="2">
        <f>中央線快速_東京方面_平日6[[#This Row],[発車時刻(Time)]]-$D248</f>
        <v>2.7777777777777679E-3</v>
      </c>
      <c r="V249" s="4">
        <f t="shared" si="3"/>
        <v>0.9728434504792367</v>
      </c>
    </row>
    <row r="250" spans="2:22" x14ac:dyDescent="0.2">
      <c r="B250" s="17" t="s">
        <v>71</v>
      </c>
      <c r="C250" t="s">
        <v>68</v>
      </c>
      <c r="D250" s="2">
        <v>0.84583333333333333</v>
      </c>
      <c r="E250" t="s">
        <v>69</v>
      </c>
      <c r="F250" s="16">
        <v>15</v>
      </c>
      <c r="G250" s="1"/>
      <c r="H250" s="6"/>
      <c r="U250" s="2">
        <f>中央線快速_東京方面_平日6[[#This Row],[発車時刻(Time)]]-$D249</f>
        <v>2.0833333333333259E-3</v>
      </c>
      <c r="V250" s="4">
        <f t="shared" si="3"/>
        <v>1.2971246006389821</v>
      </c>
    </row>
    <row r="251" spans="2:22" x14ac:dyDescent="0.2">
      <c r="B251" s="17" t="s">
        <v>71</v>
      </c>
      <c r="C251" t="s">
        <v>68</v>
      </c>
      <c r="D251" s="2">
        <v>0.84791666666666676</v>
      </c>
      <c r="E251" t="s">
        <v>69</v>
      </c>
      <c r="F251" s="16">
        <v>15</v>
      </c>
      <c r="G251" s="1"/>
      <c r="H251" s="6"/>
      <c r="U251" s="2">
        <f>中央線快速_東京方面_平日6[[#This Row],[発車時刻(Time)]]-$D250</f>
        <v>2.083333333333437E-3</v>
      </c>
      <c r="V251" s="4">
        <f t="shared" si="3"/>
        <v>1.297124600638913</v>
      </c>
    </row>
    <row r="252" spans="2:22" x14ac:dyDescent="0.2">
      <c r="B252" s="17" t="s">
        <v>71</v>
      </c>
      <c r="C252" t="s">
        <v>68</v>
      </c>
      <c r="D252" s="2">
        <v>0.85</v>
      </c>
      <c r="E252" t="s">
        <v>69</v>
      </c>
      <c r="F252" s="16">
        <v>15</v>
      </c>
      <c r="G252" s="1"/>
      <c r="H252" s="6"/>
      <c r="U252" s="2">
        <f>中央線快速_東京方面_平日6[[#This Row],[発車時刻(Time)]]-$D251</f>
        <v>2.0833333333332149E-3</v>
      </c>
      <c r="V252" s="4">
        <f t="shared" si="3"/>
        <v>1.2971246006390513</v>
      </c>
    </row>
    <row r="253" spans="2:22" x14ac:dyDescent="0.2">
      <c r="B253" s="17" t="s">
        <v>71</v>
      </c>
      <c r="C253" t="s">
        <v>68</v>
      </c>
      <c r="D253" s="2">
        <v>0.85277777777777775</v>
      </c>
      <c r="E253" t="s">
        <v>69</v>
      </c>
      <c r="F253" s="16">
        <v>15</v>
      </c>
      <c r="G253" s="1"/>
      <c r="H253" s="6"/>
      <c r="U253" s="2">
        <f>中央線快速_東京方面_平日6[[#This Row],[発車時刻(Time)]]-$D252</f>
        <v>2.7777777777777679E-3</v>
      </c>
      <c r="V253" s="4">
        <f t="shared" si="3"/>
        <v>0.9728434504792367</v>
      </c>
    </row>
    <row r="254" spans="2:22" x14ac:dyDescent="0.2">
      <c r="B254" s="17" t="s">
        <v>71</v>
      </c>
      <c r="C254" t="s">
        <v>68</v>
      </c>
      <c r="D254" s="2">
        <v>0.85486111111111107</v>
      </c>
      <c r="E254" t="s">
        <v>69</v>
      </c>
      <c r="F254" s="16">
        <v>15</v>
      </c>
      <c r="G254" s="1"/>
      <c r="H254" s="6"/>
      <c r="U254" s="2">
        <f>中央線快速_東京方面_平日6[[#This Row],[発車時刻(Time)]]-$D253</f>
        <v>2.0833333333333259E-3</v>
      </c>
      <c r="V254" s="4">
        <f t="shared" si="3"/>
        <v>1.2971246006389821</v>
      </c>
    </row>
    <row r="255" spans="2:22" x14ac:dyDescent="0.2">
      <c r="B255" s="17" t="s">
        <v>71</v>
      </c>
      <c r="C255" t="s">
        <v>68</v>
      </c>
      <c r="D255" s="2">
        <v>0.8569444444444444</v>
      </c>
      <c r="E255" t="s">
        <v>69</v>
      </c>
      <c r="F255" s="16">
        <v>15</v>
      </c>
      <c r="G255" s="1"/>
      <c r="H255" s="6"/>
      <c r="U255" s="2">
        <f>中央線快速_東京方面_平日6[[#This Row],[発車時刻(Time)]]-$D254</f>
        <v>2.0833333333333259E-3</v>
      </c>
      <c r="V255" s="4">
        <f t="shared" si="3"/>
        <v>1.2971246006389821</v>
      </c>
    </row>
    <row r="256" spans="2:22" x14ac:dyDescent="0.2">
      <c r="B256" s="17" t="s">
        <v>71</v>
      </c>
      <c r="C256" t="s">
        <v>68</v>
      </c>
      <c r="D256" s="2">
        <v>0.85972222222222217</v>
      </c>
      <c r="E256" t="s">
        <v>69</v>
      </c>
      <c r="F256" s="16">
        <v>15</v>
      </c>
      <c r="G256" s="1"/>
      <c r="H256" s="6"/>
      <c r="U256" s="2">
        <f>中央線快速_東京方面_平日6[[#This Row],[発車時刻(Time)]]-$D255</f>
        <v>2.7777777777777679E-3</v>
      </c>
      <c r="V256" s="4">
        <f t="shared" si="3"/>
        <v>0.9728434504792367</v>
      </c>
    </row>
    <row r="257" spans="2:22" x14ac:dyDescent="0.2">
      <c r="B257" s="17" t="s">
        <v>71</v>
      </c>
      <c r="C257" t="s">
        <v>68</v>
      </c>
      <c r="D257" s="2">
        <v>0.8618055555555556</v>
      </c>
      <c r="E257" t="s">
        <v>69</v>
      </c>
      <c r="F257" s="16">
        <v>15</v>
      </c>
      <c r="G257" s="1"/>
      <c r="H257" s="6"/>
      <c r="U257" s="2">
        <f>中央線快速_東京方面_平日6[[#This Row],[発車時刻(Time)]]-$D256</f>
        <v>2.083333333333437E-3</v>
      </c>
      <c r="V257" s="4">
        <f t="shared" si="3"/>
        <v>1.297124600638913</v>
      </c>
    </row>
    <row r="258" spans="2:22" x14ac:dyDescent="0.2">
      <c r="B258" s="17" t="s">
        <v>71</v>
      </c>
      <c r="C258" t="s">
        <v>68</v>
      </c>
      <c r="D258" s="2">
        <v>0.86388888888888893</v>
      </c>
      <c r="E258" t="s">
        <v>69</v>
      </c>
      <c r="F258" s="16">
        <v>15</v>
      </c>
      <c r="G258" s="1"/>
      <c r="H258" s="6"/>
      <c r="U258" s="2">
        <f>中央線快速_東京方面_平日6[[#This Row],[発車時刻(Time)]]-$D257</f>
        <v>2.0833333333333259E-3</v>
      </c>
      <c r="V258" s="4">
        <f t="shared" si="3"/>
        <v>1.2971246006389821</v>
      </c>
    </row>
    <row r="259" spans="2:22" x14ac:dyDescent="0.2">
      <c r="B259" s="17" t="s">
        <v>71</v>
      </c>
      <c r="C259" t="s">
        <v>68</v>
      </c>
      <c r="D259" s="2">
        <v>0.86597222222222225</v>
      </c>
      <c r="E259" t="s">
        <v>69</v>
      </c>
      <c r="F259" s="16">
        <v>15</v>
      </c>
      <c r="G259" s="1"/>
      <c r="H259" s="6"/>
      <c r="U259" s="2">
        <f>中央線快速_東京方面_平日6[[#This Row],[発車時刻(Time)]]-$D258</f>
        <v>2.0833333333333259E-3</v>
      </c>
      <c r="V259" s="4">
        <f t="shared" si="3"/>
        <v>1.2971246006389821</v>
      </c>
    </row>
    <row r="260" spans="2:22" x14ac:dyDescent="0.2">
      <c r="B260" s="17" t="s">
        <v>71</v>
      </c>
      <c r="C260" t="s">
        <v>68</v>
      </c>
      <c r="D260" s="2">
        <v>0.86805555555555547</v>
      </c>
      <c r="E260" t="s">
        <v>69</v>
      </c>
      <c r="F260" s="16">
        <v>15</v>
      </c>
      <c r="G260" s="1"/>
      <c r="H260" s="6"/>
      <c r="U260" s="2">
        <f>中央線快速_東京方面_平日6[[#This Row],[発車時刻(Time)]]-$D259</f>
        <v>2.0833333333332149E-3</v>
      </c>
      <c r="V260" s="4">
        <f t="shared" ref="V260:V316" si="4">IFERROR((1/(U260/$K$2)), 0)</f>
        <v>1.2971246006390513</v>
      </c>
    </row>
    <row r="261" spans="2:22" x14ac:dyDescent="0.2">
      <c r="B261" s="17" t="s">
        <v>71</v>
      </c>
      <c r="C261" t="s">
        <v>68</v>
      </c>
      <c r="D261" s="2">
        <v>0.87083333333333324</v>
      </c>
      <c r="E261" t="s">
        <v>69</v>
      </c>
      <c r="F261" s="16">
        <v>15</v>
      </c>
      <c r="G261" s="1"/>
      <c r="H261" s="6"/>
      <c r="U261" s="2">
        <f>中央線快速_東京方面_平日6[[#This Row],[発車時刻(Time)]]-$D260</f>
        <v>2.7777777777777679E-3</v>
      </c>
      <c r="V261" s="4">
        <f t="shared" si="4"/>
        <v>0.9728434504792367</v>
      </c>
    </row>
    <row r="262" spans="2:22" x14ac:dyDescent="0.2">
      <c r="B262" s="17" t="s">
        <v>71</v>
      </c>
      <c r="C262" t="s">
        <v>68</v>
      </c>
      <c r="D262" s="2">
        <v>0.87291666666666667</v>
      </c>
      <c r="E262" t="s">
        <v>69</v>
      </c>
      <c r="F262" s="16">
        <v>15</v>
      </c>
      <c r="G262" s="1"/>
      <c r="H262" s="6"/>
      <c r="U262" s="2">
        <f>中央線快速_東京方面_平日6[[#This Row],[発車時刻(Time)]]-$D261</f>
        <v>2.083333333333437E-3</v>
      </c>
      <c r="V262" s="4">
        <f t="shared" si="4"/>
        <v>1.297124600638913</v>
      </c>
    </row>
    <row r="263" spans="2:22" x14ac:dyDescent="0.2">
      <c r="B263" s="17" t="s">
        <v>71</v>
      </c>
      <c r="C263" t="s">
        <v>68</v>
      </c>
      <c r="D263" s="2">
        <v>0.875</v>
      </c>
      <c r="E263" t="s">
        <v>69</v>
      </c>
      <c r="F263" s="16">
        <v>15</v>
      </c>
      <c r="G263" s="1"/>
      <c r="H263" s="6"/>
      <c r="U263" s="2">
        <f>中央線快速_東京方面_平日6[[#This Row],[発車時刻(Time)]]-$D262</f>
        <v>2.0833333333333259E-3</v>
      </c>
      <c r="V263" s="4">
        <f t="shared" si="4"/>
        <v>1.2971246006389821</v>
      </c>
    </row>
    <row r="264" spans="2:22" x14ac:dyDescent="0.2">
      <c r="B264" s="17" t="s">
        <v>71</v>
      </c>
      <c r="C264" t="s">
        <v>68</v>
      </c>
      <c r="D264" s="2">
        <v>0.87777777777777777</v>
      </c>
      <c r="E264" t="s">
        <v>69</v>
      </c>
      <c r="F264" s="16">
        <v>15</v>
      </c>
      <c r="G264" s="1"/>
      <c r="H264" s="6"/>
      <c r="U264" s="2">
        <f>中央線快速_東京方面_平日6[[#This Row],[発車時刻(Time)]]-$D263</f>
        <v>2.7777777777777679E-3</v>
      </c>
      <c r="V264" s="4">
        <f t="shared" si="4"/>
        <v>0.9728434504792367</v>
      </c>
    </row>
    <row r="265" spans="2:22" x14ac:dyDescent="0.2">
      <c r="B265" s="17" t="s">
        <v>71</v>
      </c>
      <c r="C265" t="s">
        <v>68</v>
      </c>
      <c r="D265" s="2">
        <v>0.87986111111111109</v>
      </c>
      <c r="E265" t="s">
        <v>69</v>
      </c>
      <c r="F265" s="16">
        <v>15</v>
      </c>
      <c r="G265" s="1"/>
      <c r="H265" s="6"/>
      <c r="U265" s="2">
        <f>中央線快速_東京方面_平日6[[#This Row],[発車時刻(Time)]]-$D264</f>
        <v>2.0833333333333259E-3</v>
      </c>
      <c r="V265" s="4">
        <f t="shared" si="4"/>
        <v>1.2971246006389821</v>
      </c>
    </row>
    <row r="266" spans="2:22" x14ac:dyDescent="0.2">
      <c r="B266" s="17" t="s">
        <v>71</v>
      </c>
      <c r="C266" t="s">
        <v>68</v>
      </c>
      <c r="D266" s="2">
        <v>0.88194444444444453</v>
      </c>
      <c r="E266" t="s">
        <v>69</v>
      </c>
      <c r="F266" s="16">
        <v>15</v>
      </c>
      <c r="G266" s="1"/>
      <c r="H266" s="6"/>
      <c r="U266" s="2">
        <f>中央線快速_東京方面_平日6[[#This Row],[発車時刻(Time)]]-$D265</f>
        <v>2.083333333333437E-3</v>
      </c>
      <c r="V266" s="4">
        <f t="shared" si="4"/>
        <v>1.297124600638913</v>
      </c>
    </row>
    <row r="267" spans="2:22" x14ac:dyDescent="0.2">
      <c r="B267" s="17" t="s">
        <v>71</v>
      </c>
      <c r="C267" t="s">
        <v>68</v>
      </c>
      <c r="D267" s="2">
        <v>0.88402777777777775</v>
      </c>
      <c r="E267" t="s">
        <v>69</v>
      </c>
      <c r="F267" s="16">
        <v>15</v>
      </c>
      <c r="G267" s="1"/>
      <c r="H267" s="6"/>
      <c r="U267" s="2">
        <f>中央線快速_東京方面_平日6[[#This Row],[発車時刻(Time)]]-$D266</f>
        <v>2.0833333333332149E-3</v>
      </c>
      <c r="V267" s="4">
        <f t="shared" si="4"/>
        <v>1.2971246006390513</v>
      </c>
    </row>
    <row r="268" spans="2:22" x14ac:dyDescent="0.2">
      <c r="B268" s="17" t="s">
        <v>71</v>
      </c>
      <c r="C268" t="s">
        <v>68</v>
      </c>
      <c r="D268" s="2">
        <v>0.88611111111111107</v>
      </c>
      <c r="E268" t="s">
        <v>69</v>
      </c>
      <c r="F268" s="16">
        <v>15</v>
      </c>
      <c r="G268" s="1"/>
      <c r="H268" s="6"/>
      <c r="U268" s="2">
        <f>中央線快速_東京方面_平日6[[#This Row],[発車時刻(Time)]]-$D267</f>
        <v>2.0833333333333259E-3</v>
      </c>
      <c r="V268" s="4">
        <f t="shared" si="4"/>
        <v>1.2971246006389821</v>
      </c>
    </row>
    <row r="269" spans="2:22" x14ac:dyDescent="0.2">
      <c r="B269" s="17" t="s">
        <v>71</v>
      </c>
      <c r="C269" t="s">
        <v>68</v>
      </c>
      <c r="D269" s="2">
        <v>0.88888888888888884</v>
      </c>
      <c r="E269" t="s">
        <v>69</v>
      </c>
      <c r="F269" s="16">
        <v>15</v>
      </c>
      <c r="G269" s="1"/>
      <c r="H269" s="6"/>
      <c r="U269" s="2">
        <f>中央線快速_東京方面_平日6[[#This Row],[発車時刻(Time)]]-$D268</f>
        <v>2.7777777777777679E-3</v>
      </c>
      <c r="V269" s="4">
        <f t="shared" si="4"/>
        <v>0.9728434504792367</v>
      </c>
    </row>
    <row r="270" spans="2:22" x14ac:dyDescent="0.2">
      <c r="B270" s="17" t="s">
        <v>71</v>
      </c>
      <c r="C270" t="s">
        <v>68</v>
      </c>
      <c r="D270" s="2">
        <v>0.89097222222222217</v>
      </c>
      <c r="E270" t="s">
        <v>69</v>
      </c>
      <c r="F270" s="16">
        <v>15</v>
      </c>
      <c r="G270" s="1"/>
      <c r="H270" s="6"/>
      <c r="U270" s="2">
        <f>中央線快速_東京方面_平日6[[#This Row],[発車時刻(Time)]]-$D269</f>
        <v>2.0833333333333259E-3</v>
      </c>
      <c r="V270" s="4">
        <f t="shared" si="4"/>
        <v>1.2971246006389821</v>
      </c>
    </row>
    <row r="271" spans="2:22" x14ac:dyDescent="0.2">
      <c r="B271" s="17" t="s">
        <v>71</v>
      </c>
      <c r="C271" t="s">
        <v>68</v>
      </c>
      <c r="D271" s="2">
        <v>0.8930555555555556</v>
      </c>
      <c r="E271" t="s">
        <v>69</v>
      </c>
      <c r="F271" s="16">
        <v>15</v>
      </c>
      <c r="G271" s="1"/>
      <c r="H271" s="6"/>
      <c r="U271" s="2">
        <f>中央線快速_東京方面_平日6[[#This Row],[発車時刻(Time)]]-$D270</f>
        <v>2.083333333333437E-3</v>
      </c>
      <c r="V271" s="4">
        <f t="shared" si="4"/>
        <v>1.297124600638913</v>
      </c>
    </row>
    <row r="272" spans="2:22" x14ac:dyDescent="0.2">
      <c r="B272" s="17" t="s">
        <v>71</v>
      </c>
      <c r="C272" t="s">
        <v>68</v>
      </c>
      <c r="D272" s="2">
        <v>0.89583333333333337</v>
      </c>
      <c r="E272" t="s">
        <v>69</v>
      </c>
      <c r="F272" s="16">
        <v>15</v>
      </c>
      <c r="G272" s="1"/>
      <c r="H272" s="6"/>
      <c r="U272" s="2">
        <f>中央線快速_東京方面_平日6[[#This Row],[発車時刻(Time)]]-$D271</f>
        <v>2.7777777777777679E-3</v>
      </c>
      <c r="V272" s="4">
        <f t="shared" si="4"/>
        <v>0.9728434504792367</v>
      </c>
    </row>
    <row r="273" spans="2:22" x14ac:dyDescent="0.2">
      <c r="B273" s="17" t="s">
        <v>71</v>
      </c>
      <c r="C273" t="s">
        <v>68</v>
      </c>
      <c r="D273" s="2">
        <v>0.89722222222222225</v>
      </c>
      <c r="E273" t="s">
        <v>69</v>
      </c>
      <c r="F273" s="16">
        <v>15</v>
      </c>
      <c r="G273" s="1"/>
      <c r="H273" s="6"/>
      <c r="U273" s="2">
        <f>中央線快速_東京方面_平日6[[#This Row],[発車時刻(Time)]]-$D272</f>
        <v>1.388888888888884E-3</v>
      </c>
      <c r="V273" s="4">
        <f t="shared" si="4"/>
        <v>1.9456869009584734</v>
      </c>
    </row>
    <row r="274" spans="2:22" x14ac:dyDescent="0.2">
      <c r="B274" s="17" t="s">
        <v>71</v>
      </c>
      <c r="C274" t="s">
        <v>68</v>
      </c>
      <c r="D274" s="2">
        <v>0.9</v>
      </c>
      <c r="E274" t="s">
        <v>69</v>
      </c>
      <c r="F274" s="16">
        <v>15</v>
      </c>
      <c r="G274" s="1"/>
      <c r="H274" s="6"/>
      <c r="U274" s="2">
        <f>中央線快速_東京方面_平日6[[#This Row],[発車時刻(Time)]]-$D273</f>
        <v>2.7777777777777679E-3</v>
      </c>
      <c r="V274" s="4">
        <f t="shared" si="4"/>
        <v>0.9728434504792367</v>
      </c>
    </row>
    <row r="275" spans="2:22" x14ac:dyDescent="0.2">
      <c r="B275" s="17" t="s">
        <v>71</v>
      </c>
      <c r="C275" t="s">
        <v>68</v>
      </c>
      <c r="D275" s="2">
        <v>0.90208333333333324</v>
      </c>
      <c r="E275" t="s">
        <v>69</v>
      </c>
      <c r="F275" s="16">
        <v>15</v>
      </c>
      <c r="G275" s="1"/>
      <c r="H275" s="6"/>
      <c r="U275" s="2">
        <f>中央線快速_東京方面_平日6[[#This Row],[発車時刻(Time)]]-$D274</f>
        <v>2.0833333333332149E-3</v>
      </c>
      <c r="V275" s="4">
        <f t="shared" si="4"/>
        <v>1.2971246006390513</v>
      </c>
    </row>
    <row r="276" spans="2:22" x14ac:dyDescent="0.2">
      <c r="B276" s="17" t="s">
        <v>71</v>
      </c>
      <c r="C276" t="s">
        <v>68</v>
      </c>
      <c r="D276" s="2">
        <v>0.90486111111111101</v>
      </c>
      <c r="E276" t="s">
        <v>69</v>
      </c>
      <c r="F276" s="16">
        <v>15</v>
      </c>
      <c r="G276" s="1"/>
      <c r="H276" s="6"/>
      <c r="U276" s="2">
        <f>中央線快速_東京方面_平日6[[#This Row],[発車時刻(Time)]]-$D275</f>
        <v>2.7777777777777679E-3</v>
      </c>
      <c r="V276" s="4">
        <f t="shared" si="4"/>
        <v>0.9728434504792367</v>
      </c>
    </row>
    <row r="277" spans="2:22" x14ac:dyDescent="0.2">
      <c r="B277" s="17" t="s">
        <v>71</v>
      </c>
      <c r="C277" t="s">
        <v>68</v>
      </c>
      <c r="D277" s="2">
        <v>0.90763888888888899</v>
      </c>
      <c r="E277" t="s">
        <v>69</v>
      </c>
      <c r="F277" s="16">
        <v>15</v>
      </c>
      <c r="G277" s="1"/>
      <c r="H277" s="6"/>
      <c r="U277" s="2">
        <f>中央線快速_東京方面_平日6[[#This Row],[発車時刻(Time)]]-$D276</f>
        <v>2.77777777777799E-3</v>
      </c>
      <c r="V277" s="4">
        <f t="shared" si="4"/>
        <v>0.97284345047915899</v>
      </c>
    </row>
    <row r="278" spans="2:22" x14ac:dyDescent="0.2">
      <c r="B278" s="17" t="s">
        <v>71</v>
      </c>
      <c r="C278" t="s">
        <v>68</v>
      </c>
      <c r="D278" s="2">
        <v>0.91041666666666676</v>
      </c>
      <c r="E278" t="s">
        <v>69</v>
      </c>
      <c r="F278" s="16">
        <v>15</v>
      </c>
      <c r="G278" s="1"/>
      <c r="H278" s="6"/>
      <c r="U278" s="2">
        <f>中央線快速_東京方面_平日6[[#This Row],[発車時刻(Time)]]-$D277</f>
        <v>2.7777777777777679E-3</v>
      </c>
      <c r="V278" s="4">
        <f t="shared" si="4"/>
        <v>0.9728434504792367</v>
      </c>
    </row>
    <row r="279" spans="2:22" x14ac:dyDescent="0.2">
      <c r="B279" s="17" t="s">
        <v>71</v>
      </c>
      <c r="C279" t="s">
        <v>68</v>
      </c>
      <c r="D279" s="2">
        <v>0.91319444444444453</v>
      </c>
      <c r="E279" t="s">
        <v>69</v>
      </c>
      <c r="F279" s="16">
        <v>15</v>
      </c>
      <c r="G279" s="1"/>
      <c r="H279" s="6"/>
      <c r="U279" s="2">
        <f>中央線快速_東京方面_平日6[[#This Row],[発車時刻(Time)]]-$D278</f>
        <v>2.7777777777777679E-3</v>
      </c>
      <c r="V279" s="4">
        <f t="shared" si="4"/>
        <v>0.9728434504792367</v>
      </c>
    </row>
    <row r="280" spans="2:22" x14ac:dyDescent="0.2">
      <c r="B280" s="17" t="s">
        <v>71</v>
      </c>
      <c r="C280" t="s">
        <v>68</v>
      </c>
      <c r="D280" s="2">
        <v>0.91527777777777775</v>
      </c>
      <c r="E280" t="s">
        <v>69</v>
      </c>
      <c r="F280" s="16">
        <v>15</v>
      </c>
      <c r="G280" s="1"/>
      <c r="H280" s="6"/>
      <c r="U280" s="2">
        <f>中央線快速_東京方面_平日6[[#This Row],[発車時刻(Time)]]-$D279</f>
        <v>2.0833333333332149E-3</v>
      </c>
      <c r="V280" s="4">
        <f t="shared" si="4"/>
        <v>1.2971246006390513</v>
      </c>
    </row>
    <row r="281" spans="2:22" x14ac:dyDescent="0.2">
      <c r="B281" s="17" t="s">
        <v>71</v>
      </c>
      <c r="C281" t="s">
        <v>68</v>
      </c>
      <c r="D281" s="2">
        <v>0.91805555555555562</v>
      </c>
      <c r="E281" t="s">
        <v>69</v>
      </c>
      <c r="F281" s="16">
        <v>15</v>
      </c>
      <c r="G281" s="1"/>
      <c r="H281" s="6"/>
      <c r="U281" s="2">
        <f>中央線快速_東京方面_平日6[[#This Row],[発車時刻(Time)]]-$D280</f>
        <v>2.7777777777778789E-3</v>
      </c>
      <c r="V281" s="4">
        <f t="shared" si="4"/>
        <v>0.97284345047919785</v>
      </c>
    </row>
    <row r="282" spans="2:22" x14ac:dyDescent="0.2">
      <c r="B282" s="17" t="s">
        <v>71</v>
      </c>
      <c r="C282" t="s">
        <v>68</v>
      </c>
      <c r="D282" s="2">
        <v>0.92083333333333339</v>
      </c>
      <c r="E282" t="s">
        <v>69</v>
      </c>
      <c r="F282" s="16">
        <v>15</v>
      </c>
      <c r="G282" s="1"/>
      <c r="H282" s="6"/>
      <c r="U282" s="2">
        <f>中央線快速_東京方面_平日6[[#This Row],[発車時刻(Time)]]-$D281</f>
        <v>2.7777777777777679E-3</v>
      </c>
      <c r="V282" s="4">
        <f t="shared" si="4"/>
        <v>0.9728434504792367</v>
      </c>
    </row>
    <row r="283" spans="2:22" x14ac:dyDescent="0.2">
      <c r="B283" s="17" t="s">
        <v>71</v>
      </c>
      <c r="C283" t="s">
        <v>68</v>
      </c>
      <c r="D283" s="2">
        <v>0.92361111111111116</v>
      </c>
      <c r="E283" t="s">
        <v>69</v>
      </c>
      <c r="F283" s="16">
        <v>15</v>
      </c>
      <c r="G283" s="1"/>
      <c r="H283" s="6"/>
      <c r="U283" s="2">
        <f>中央線快速_東京方面_平日6[[#This Row],[発車時刻(Time)]]-$D282</f>
        <v>2.7777777777777679E-3</v>
      </c>
      <c r="V283" s="4">
        <f t="shared" si="4"/>
        <v>0.9728434504792367</v>
      </c>
    </row>
    <row r="284" spans="2:22" x14ac:dyDescent="0.2">
      <c r="B284" s="17" t="s">
        <v>71</v>
      </c>
      <c r="C284" t="s">
        <v>68</v>
      </c>
      <c r="D284" s="2">
        <v>0.92708333333333337</v>
      </c>
      <c r="E284" t="s">
        <v>69</v>
      </c>
      <c r="F284" s="16">
        <v>15</v>
      </c>
      <c r="G284" s="1"/>
      <c r="H284" s="6"/>
      <c r="U284" s="2">
        <f>中央線快速_東京方面_平日6[[#This Row],[発車時刻(Time)]]-$D283</f>
        <v>3.4722222222222099E-3</v>
      </c>
      <c r="V284" s="4">
        <f t="shared" si="4"/>
        <v>0.77827476038338927</v>
      </c>
    </row>
    <row r="285" spans="2:22" x14ac:dyDescent="0.2">
      <c r="B285" s="17" t="s">
        <v>71</v>
      </c>
      <c r="C285" t="s">
        <v>68</v>
      </c>
      <c r="D285" s="2">
        <v>0.9291666666666667</v>
      </c>
      <c r="E285" t="s">
        <v>69</v>
      </c>
      <c r="F285" s="16">
        <v>15</v>
      </c>
      <c r="G285" s="1"/>
      <c r="H285" s="6"/>
      <c r="U285" s="2">
        <f>中央線快速_東京方面_平日6[[#This Row],[発車時刻(Time)]]-$D284</f>
        <v>2.0833333333333259E-3</v>
      </c>
      <c r="V285" s="4">
        <f t="shared" si="4"/>
        <v>1.2971246006389821</v>
      </c>
    </row>
    <row r="286" spans="2:22" x14ac:dyDescent="0.2">
      <c r="B286" s="17" t="s">
        <v>71</v>
      </c>
      <c r="C286" t="s">
        <v>68</v>
      </c>
      <c r="D286" s="2">
        <v>0.93125000000000002</v>
      </c>
      <c r="E286" t="s">
        <v>69</v>
      </c>
      <c r="F286" s="16">
        <v>15</v>
      </c>
      <c r="G286" s="1"/>
      <c r="H286" s="6"/>
      <c r="U286" s="2">
        <f>中央線快速_東京方面_平日6[[#This Row],[発車時刻(Time)]]-$D285</f>
        <v>2.0833333333333259E-3</v>
      </c>
      <c r="V286" s="4">
        <f t="shared" si="4"/>
        <v>1.2971246006389821</v>
      </c>
    </row>
    <row r="287" spans="2:22" x14ac:dyDescent="0.2">
      <c r="B287" s="17" t="s">
        <v>71</v>
      </c>
      <c r="C287" t="s">
        <v>68</v>
      </c>
      <c r="D287" s="2">
        <v>0.93402777777777779</v>
      </c>
      <c r="E287" t="s">
        <v>69</v>
      </c>
      <c r="F287" s="16">
        <v>15</v>
      </c>
      <c r="G287" s="1"/>
      <c r="H287" s="6"/>
      <c r="U287" s="2">
        <f>中央線快速_東京方面_平日6[[#This Row],[発車時刻(Time)]]-$D286</f>
        <v>2.7777777777777679E-3</v>
      </c>
      <c r="V287" s="4">
        <f t="shared" si="4"/>
        <v>0.9728434504792367</v>
      </c>
    </row>
    <row r="288" spans="2:22" x14ac:dyDescent="0.2">
      <c r="B288" s="17" t="s">
        <v>71</v>
      </c>
      <c r="C288" t="s">
        <v>68</v>
      </c>
      <c r="D288" s="2">
        <v>0.93611111111111101</v>
      </c>
      <c r="E288" t="s">
        <v>69</v>
      </c>
      <c r="F288" s="16">
        <v>15</v>
      </c>
      <c r="G288" s="1"/>
      <c r="H288" s="6"/>
      <c r="U288" s="2">
        <f>中央線快速_東京方面_平日6[[#This Row],[発車時刻(Time)]]-$D287</f>
        <v>2.0833333333332149E-3</v>
      </c>
      <c r="V288" s="4">
        <f t="shared" si="4"/>
        <v>1.2971246006390513</v>
      </c>
    </row>
    <row r="289" spans="2:22" x14ac:dyDescent="0.2">
      <c r="B289" s="17" t="s">
        <v>71</v>
      </c>
      <c r="C289" t="s">
        <v>68</v>
      </c>
      <c r="D289" s="2">
        <v>0.93819444444444444</v>
      </c>
      <c r="E289" t="s">
        <v>69</v>
      </c>
      <c r="F289" s="16">
        <v>15</v>
      </c>
      <c r="G289" s="1"/>
      <c r="H289" s="6"/>
      <c r="U289" s="2">
        <f>中央線快速_東京方面_平日6[[#This Row],[発車時刻(Time)]]-$D288</f>
        <v>2.083333333333437E-3</v>
      </c>
      <c r="V289" s="4">
        <f t="shared" si="4"/>
        <v>1.297124600638913</v>
      </c>
    </row>
    <row r="290" spans="2:22" x14ac:dyDescent="0.2">
      <c r="B290" s="17" t="s">
        <v>71</v>
      </c>
      <c r="C290" t="s">
        <v>68</v>
      </c>
      <c r="D290" s="2">
        <v>0.94166666666666676</v>
      </c>
      <c r="E290" t="s">
        <v>69</v>
      </c>
      <c r="F290" s="16">
        <v>15</v>
      </c>
      <c r="G290" s="1"/>
      <c r="H290" s="6"/>
      <c r="U290" s="2">
        <f>中央線快速_東京方面_平日6[[#This Row],[発車時刻(Time)]]-$D289</f>
        <v>3.4722222222223209E-3</v>
      </c>
      <c r="V290" s="4">
        <f t="shared" si="4"/>
        <v>0.77827476038336441</v>
      </c>
    </row>
    <row r="291" spans="2:22" x14ac:dyDescent="0.2">
      <c r="B291" s="17" t="s">
        <v>71</v>
      </c>
      <c r="C291" t="s">
        <v>68</v>
      </c>
      <c r="D291" s="2">
        <v>0.94513888888888886</v>
      </c>
      <c r="E291" t="s">
        <v>69</v>
      </c>
      <c r="F291" s="16">
        <v>15</v>
      </c>
      <c r="G291" s="1"/>
      <c r="H291" s="6"/>
      <c r="U291" s="2">
        <f>中央線快速_東京方面_平日6[[#This Row],[発車時刻(Time)]]-$D290</f>
        <v>3.4722222222220989E-3</v>
      </c>
      <c r="V291" s="4">
        <f t="shared" si="4"/>
        <v>0.77827476038341414</v>
      </c>
    </row>
    <row r="292" spans="2:22" x14ac:dyDescent="0.2">
      <c r="B292" s="17" t="s">
        <v>71</v>
      </c>
      <c r="C292" t="s">
        <v>68</v>
      </c>
      <c r="D292" s="2">
        <v>0.9472222222222223</v>
      </c>
      <c r="E292" t="s">
        <v>69</v>
      </c>
      <c r="F292" s="16">
        <v>15</v>
      </c>
      <c r="G292" s="1"/>
      <c r="H292" s="6"/>
      <c r="U292" s="2">
        <f>中央線快速_東京方面_平日6[[#This Row],[発車時刻(Time)]]-$D291</f>
        <v>2.083333333333437E-3</v>
      </c>
      <c r="V292" s="4">
        <f t="shared" si="4"/>
        <v>1.297124600638913</v>
      </c>
    </row>
    <row r="293" spans="2:22" x14ac:dyDescent="0.2">
      <c r="B293" s="17" t="s">
        <v>71</v>
      </c>
      <c r="C293" t="s">
        <v>68</v>
      </c>
      <c r="D293" s="2">
        <v>0.95000000000000007</v>
      </c>
      <c r="E293" t="s">
        <v>69</v>
      </c>
      <c r="F293" s="16">
        <v>15</v>
      </c>
      <c r="G293" s="1"/>
      <c r="H293" s="6"/>
      <c r="U293" s="2">
        <f>中央線快速_東京方面_平日6[[#This Row],[発車時刻(Time)]]-$D292</f>
        <v>2.7777777777777679E-3</v>
      </c>
      <c r="V293" s="4">
        <f t="shared" si="4"/>
        <v>0.9728434504792367</v>
      </c>
    </row>
    <row r="294" spans="2:22" x14ac:dyDescent="0.2">
      <c r="B294" s="17" t="s">
        <v>71</v>
      </c>
      <c r="C294" t="s">
        <v>68</v>
      </c>
      <c r="D294" s="2">
        <v>0.95277777777777783</v>
      </c>
      <c r="E294" t="s">
        <v>69</v>
      </c>
      <c r="F294" s="16">
        <v>15</v>
      </c>
      <c r="G294" s="1"/>
      <c r="H294" s="6"/>
      <c r="U294" s="2">
        <f>中央線快速_東京方面_平日6[[#This Row],[発車時刻(Time)]]-$D293</f>
        <v>2.7777777777777679E-3</v>
      </c>
      <c r="V294" s="4">
        <f t="shared" si="4"/>
        <v>0.9728434504792367</v>
      </c>
    </row>
    <row r="295" spans="2:22" x14ac:dyDescent="0.2">
      <c r="B295" s="17" t="s">
        <v>71</v>
      </c>
      <c r="C295" t="s">
        <v>68</v>
      </c>
      <c r="D295" s="2">
        <v>0.9555555555555556</v>
      </c>
      <c r="E295" t="s">
        <v>69</v>
      </c>
      <c r="F295" s="16">
        <v>15</v>
      </c>
      <c r="G295" s="1"/>
      <c r="H295" s="6"/>
      <c r="U295" s="2">
        <f>中央線快速_東京方面_平日6[[#This Row],[発車時刻(Time)]]-$D294</f>
        <v>2.7777777777777679E-3</v>
      </c>
      <c r="V295" s="4">
        <f t="shared" si="4"/>
        <v>0.9728434504792367</v>
      </c>
    </row>
    <row r="296" spans="2:22" x14ac:dyDescent="0.2">
      <c r="B296" s="17" t="s">
        <v>71</v>
      </c>
      <c r="C296" t="s">
        <v>68</v>
      </c>
      <c r="D296" s="2">
        <v>0.9590277777777777</v>
      </c>
      <c r="E296" t="s">
        <v>69</v>
      </c>
      <c r="F296" s="16">
        <v>15</v>
      </c>
      <c r="G296" s="1"/>
      <c r="H296" s="6"/>
      <c r="U296" s="2">
        <f>中央線快速_東京方面_平日6[[#This Row],[発車時刻(Time)]]-$D295</f>
        <v>3.4722222222220989E-3</v>
      </c>
      <c r="V296" s="4">
        <f t="shared" si="4"/>
        <v>0.77827476038341414</v>
      </c>
    </row>
    <row r="297" spans="2:22" x14ac:dyDescent="0.2">
      <c r="B297" s="17" t="s">
        <v>71</v>
      </c>
      <c r="C297" t="s">
        <v>68</v>
      </c>
      <c r="D297" s="2">
        <v>0.96319444444444446</v>
      </c>
      <c r="E297" t="s">
        <v>69</v>
      </c>
      <c r="F297" s="16">
        <v>15</v>
      </c>
      <c r="G297" s="1"/>
      <c r="H297" s="6"/>
      <c r="U297" s="2">
        <f>中央線快速_東京方面_平日6[[#This Row],[発車時刻(Time)]]-$D296</f>
        <v>4.1666666666667629E-3</v>
      </c>
      <c r="V297" s="4">
        <f t="shared" si="4"/>
        <v>0.64856230031947382</v>
      </c>
    </row>
    <row r="298" spans="2:22" x14ac:dyDescent="0.2">
      <c r="B298" s="17" t="s">
        <v>71</v>
      </c>
      <c r="C298" t="s">
        <v>68</v>
      </c>
      <c r="D298" s="2">
        <v>0.96597222222222223</v>
      </c>
      <c r="E298" t="s">
        <v>69</v>
      </c>
      <c r="F298" s="16">
        <v>15</v>
      </c>
      <c r="G298" s="1"/>
      <c r="H298" s="6"/>
      <c r="U298" s="2">
        <f>中央線快速_東京方面_平日6[[#This Row],[発車時刻(Time)]]-$D297</f>
        <v>2.7777777777777679E-3</v>
      </c>
      <c r="V298" s="4">
        <f t="shared" si="4"/>
        <v>0.9728434504792367</v>
      </c>
    </row>
    <row r="299" spans="2:22" x14ac:dyDescent="0.2">
      <c r="B299" s="17" t="s">
        <v>71</v>
      </c>
      <c r="C299" t="s">
        <v>68</v>
      </c>
      <c r="D299" s="2">
        <v>0.96944444444444444</v>
      </c>
      <c r="E299" t="s">
        <v>69</v>
      </c>
      <c r="F299" s="16">
        <v>15</v>
      </c>
      <c r="G299" s="1"/>
      <c r="H299" s="6"/>
      <c r="U299" s="2">
        <f>中央線快速_東京方面_平日6[[#This Row],[発車時刻(Time)]]-$D298</f>
        <v>3.4722222222222099E-3</v>
      </c>
      <c r="V299" s="4">
        <f t="shared" si="4"/>
        <v>0.77827476038338927</v>
      </c>
    </row>
    <row r="300" spans="2:22" x14ac:dyDescent="0.2">
      <c r="B300" s="17" t="s">
        <v>71</v>
      </c>
      <c r="C300" t="s">
        <v>68</v>
      </c>
      <c r="D300" s="2">
        <v>0.97291666666666676</v>
      </c>
      <c r="E300" t="s">
        <v>69</v>
      </c>
      <c r="F300" s="16">
        <v>15</v>
      </c>
      <c r="G300" s="1"/>
      <c r="H300" s="6"/>
      <c r="U300" s="2">
        <f>中央線快速_東京方面_平日6[[#This Row],[発車時刻(Time)]]-$D299</f>
        <v>3.4722222222223209E-3</v>
      </c>
      <c r="V300" s="4">
        <f t="shared" si="4"/>
        <v>0.77827476038336441</v>
      </c>
    </row>
    <row r="301" spans="2:22" x14ac:dyDescent="0.2">
      <c r="B301" s="17" t="s">
        <v>71</v>
      </c>
      <c r="C301" t="s">
        <v>68</v>
      </c>
      <c r="D301" s="2">
        <v>0.9770833333333333</v>
      </c>
      <c r="E301" t="s">
        <v>69</v>
      </c>
      <c r="F301" s="16">
        <v>15</v>
      </c>
      <c r="G301" s="1"/>
      <c r="H301" s="6"/>
      <c r="U301" s="2">
        <f>中央線快速_東京方面_平日6[[#This Row],[発車時刻(Time)]]-$D300</f>
        <v>4.1666666666665408E-3</v>
      </c>
      <c r="V301" s="4">
        <f t="shared" si="4"/>
        <v>0.64856230031950834</v>
      </c>
    </row>
    <row r="302" spans="2:22" x14ac:dyDescent="0.2">
      <c r="B302" s="17" t="s">
        <v>71</v>
      </c>
      <c r="C302" t="s">
        <v>68</v>
      </c>
      <c r="D302" s="2">
        <v>0.98055555555555562</v>
      </c>
      <c r="E302" t="s">
        <v>69</v>
      </c>
      <c r="F302" s="16">
        <v>15</v>
      </c>
      <c r="G302" s="1"/>
      <c r="H302" s="6"/>
      <c r="U302" s="2">
        <f>中央線快速_東京方面_平日6[[#This Row],[発車時刻(Time)]]-$D301</f>
        <v>3.4722222222223209E-3</v>
      </c>
      <c r="V302" s="4">
        <f t="shared" si="4"/>
        <v>0.77827476038336441</v>
      </c>
    </row>
    <row r="303" spans="2:22" x14ac:dyDescent="0.2">
      <c r="B303" s="17" t="s">
        <v>71</v>
      </c>
      <c r="C303" t="s">
        <v>68</v>
      </c>
      <c r="D303" s="2">
        <v>0.98333333333333339</v>
      </c>
      <c r="E303" t="s">
        <v>69</v>
      </c>
      <c r="F303" s="16">
        <v>15</v>
      </c>
      <c r="G303" s="1"/>
      <c r="H303" s="6"/>
      <c r="U303" s="2">
        <f>中央線快速_東京方面_平日6[[#This Row],[発車時刻(Time)]]-$D302</f>
        <v>2.7777777777777679E-3</v>
      </c>
      <c r="V303" s="4">
        <f t="shared" si="4"/>
        <v>0.9728434504792367</v>
      </c>
    </row>
    <row r="304" spans="2:22" x14ac:dyDescent="0.2">
      <c r="B304" s="17" t="s">
        <v>71</v>
      </c>
      <c r="C304" t="s">
        <v>68</v>
      </c>
      <c r="D304" s="2">
        <v>0.9868055555555556</v>
      </c>
      <c r="E304" t="s">
        <v>69</v>
      </c>
      <c r="F304" s="16">
        <v>15</v>
      </c>
      <c r="G304" s="1"/>
      <c r="H304" s="6"/>
      <c r="U304" s="2">
        <f>中央線快速_東京方面_平日6[[#This Row],[発車時刻(Time)]]-$D303</f>
        <v>3.4722222222222099E-3</v>
      </c>
      <c r="V304" s="4">
        <f t="shared" si="4"/>
        <v>0.77827476038338927</v>
      </c>
    </row>
    <row r="305" spans="2:22" x14ac:dyDescent="0.2">
      <c r="B305" s="17" t="s">
        <v>71</v>
      </c>
      <c r="C305" t="s">
        <v>68</v>
      </c>
      <c r="D305" s="2">
        <v>0.9902777777777777</v>
      </c>
      <c r="E305" t="s">
        <v>69</v>
      </c>
      <c r="F305" s="16">
        <v>15</v>
      </c>
      <c r="G305" s="1"/>
      <c r="H305" s="6"/>
      <c r="U305" s="2">
        <f>中央線快速_東京方面_平日6[[#This Row],[発車時刻(Time)]]-$D304</f>
        <v>3.4722222222220989E-3</v>
      </c>
      <c r="V305" s="4">
        <f t="shared" si="4"/>
        <v>0.77827476038341414</v>
      </c>
    </row>
    <row r="306" spans="2:22" x14ac:dyDescent="0.2">
      <c r="B306" s="17" t="s">
        <v>71</v>
      </c>
      <c r="C306" t="s">
        <v>68</v>
      </c>
      <c r="D306" s="2">
        <v>0.99375000000000002</v>
      </c>
      <c r="E306" t="s">
        <v>69</v>
      </c>
      <c r="F306" s="16">
        <v>15</v>
      </c>
      <c r="G306" s="1"/>
      <c r="H306" s="6"/>
      <c r="U306" s="2">
        <f>中央線快速_東京方面_平日6[[#This Row],[発車時刻(Time)]]-$D305</f>
        <v>3.4722222222223209E-3</v>
      </c>
      <c r="V306" s="4">
        <f t="shared" si="4"/>
        <v>0.77827476038336441</v>
      </c>
    </row>
    <row r="307" spans="2:22" x14ac:dyDescent="0.2">
      <c r="B307" s="17" t="s">
        <v>71</v>
      </c>
      <c r="C307" t="s">
        <v>68</v>
      </c>
      <c r="D307" s="2">
        <v>0.99652777777777779</v>
      </c>
      <c r="E307" t="s">
        <v>69</v>
      </c>
      <c r="F307" s="16">
        <v>15</v>
      </c>
      <c r="G307" s="1"/>
      <c r="H307" s="6"/>
      <c r="U307" s="2">
        <f>中央線快速_東京方面_平日6[[#This Row],[発車時刻(Time)]]-$D306</f>
        <v>2.7777777777777679E-3</v>
      </c>
      <c r="V307" s="4">
        <f t="shared" si="4"/>
        <v>0.9728434504792367</v>
      </c>
    </row>
    <row r="308" spans="2:22" x14ac:dyDescent="0.2">
      <c r="B308" s="17" t="s">
        <v>71</v>
      </c>
      <c r="C308" t="s">
        <v>68</v>
      </c>
      <c r="D308" s="2">
        <v>1.0006944444444443</v>
      </c>
      <c r="E308" t="s">
        <v>69</v>
      </c>
      <c r="F308" s="16">
        <v>15</v>
      </c>
      <c r="G308" s="1"/>
      <c r="H308" s="6"/>
      <c r="U308" s="2">
        <f>中央線快速_東京方面_平日6[[#This Row],[発車時刻(Time)]]-$D307</f>
        <v>4.1666666666665408E-3</v>
      </c>
      <c r="V308" s="4">
        <f t="shared" si="4"/>
        <v>0.64856230031950834</v>
      </c>
    </row>
    <row r="309" spans="2:22" x14ac:dyDescent="0.2">
      <c r="B309" s="17" t="s">
        <v>71</v>
      </c>
      <c r="C309" t="s">
        <v>68</v>
      </c>
      <c r="D309" s="2">
        <v>1.0041666666666667</v>
      </c>
      <c r="E309" t="s">
        <v>69</v>
      </c>
      <c r="F309" s="16">
        <v>15</v>
      </c>
      <c r="G309" s="1"/>
      <c r="H309" s="6"/>
      <c r="U309" s="2">
        <f>中央線快速_東京方面_平日6[[#This Row],[発車時刻(Time)]]-$D308</f>
        <v>3.4722222222223209E-3</v>
      </c>
      <c r="V309" s="4">
        <f t="shared" si="4"/>
        <v>0.77827476038336441</v>
      </c>
    </row>
    <row r="310" spans="2:22" x14ac:dyDescent="0.2">
      <c r="B310" s="17" t="s">
        <v>71</v>
      </c>
      <c r="C310" t="s">
        <v>68</v>
      </c>
      <c r="D310" s="2">
        <v>1.007638888888889</v>
      </c>
      <c r="E310" t="s">
        <v>69</v>
      </c>
      <c r="F310" s="16">
        <v>15</v>
      </c>
      <c r="G310" s="1"/>
      <c r="H310" s="6"/>
      <c r="U310" s="2">
        <f>中央線快速_東京方面_平日6[[#This Row],[発車時刻(Time)]]-$D309</f>
        <v>3.4722222222223209E-3</v>
      </c>
      <c r="V310" s="4">
        <f t="shared" si="4"/>
        <v>0.77827476038336441</v>
      </c>
    </row>
    <row r="311" spans="2:22" x14ac:dyDescent="0.2">
      <c r="B311" s="17" t="s">
        <v>71</v>
      </c>
      <c r="C311" t="s">
        <v>68</v>
      </c>
      <c r="D311" s="2">
        <v>1.0111111111111111</v>
      </c>
      <c r="E311" t="s">
        <v>69</v>
      </c>
      <c r="F311" s="16">
        <v>15</v>
      </c>
      <c r="G311" s="1"/>
      <c r="H311" s="6"/>
      <c r="U311" s="2">
        <f>中央線快速_東京方面_平日6[[#This Row],[発車時刻(Time)]]-$D310</f>
        <v>3.4722222222220989E-3</v>
      </c>
      <c r="V311" s="4">
        <f t="shared" si="4"/>
        <v>0.77827476038341414</v>
      </c>
    </row>
    <row r="312" spans="2:22" x14ac:dyDescent="0.2">
      <c r="B312" s="17" t="s">
        <v>71</v>
      </c>
      <c r="C312" t="s">
        <v>68</v>
      </c>
      <c r="D312" s="2">
        <v>1.0145833333333334</v>
      </c>
      <c r="E312" t="s">
        <v>69</v>
      </c>
      <c r="F312" s="16">
        <v>15</v>
      </c>
      <c r="G312" s="1"/>
      <c r="H312" s="6"/>
      <c r="U312" s="2">
        <f>中央線快速_東京方面_平日6[[#This Row],[発車時刻(Time)]]-$D311</f>
        <v>3.4722222222223209E-3</v>
      </c>
      <c r="V312" s="4">
        <f t="shared" si="4"/>
        <v>0.77827476038336441</v>
      </c>
    </row>
    <row r="313" spans="2:22" x14ac:dyDescent="0.2">
      <c r="B313" s="17" t="s">
        <v>71</v>
      </c>
      <c r="C313" t="s">
        <v>68</v>
      </c>
      <c r="D313" s="2">
        <v>1.0180555555555555</v>
      </c>
      <c r="E313" t="s">
        <v>69</v>
      </c>
      <c r="F313" s="16">
        <v>15</v>
      </c>
      <c r="G313" s="1"/>
      <c r="H313" s="6"/>
      <c r="U313" s="2">
        <f>中央線快速_東京方面_平日6[[#This Row],[発車時刻(Time)]]-$D312</f>
        <v>3.4722222222220989E-3</v>
      </c>
      <c r="V313" s="4">
        <f t="shared" si="4"/>
        <v>0.77827476038341414</v>
      </c>
    </row>
    <row r="314" spans="2:22" x14ac:dyDescent="0.2">
      <c r="B314" s="17" t="s">
        <v>71</v>
      </c>
      <c r="C314" t="s">
        <v>68</v>
      </c>
      <c r="D314" s="2">
        <v>1.0222222222222224</v>
      </c>
      <c r="E314" t="s">
        <v>69</v>
      </c>
      <c r="F314" s="16">
        <v>15</v>
      </c>
      <c r="G314" s="1"/>
      <c r="H314" s="6"/>
      <c r="U314" s="2">
        <f>中央線快速_東京方面_平日6[[#This Row],[発車時刻(Time)]]-$D313</f>
        <v>4.1666666666668739E-3</v>
      </c>
      <c r="V314" s="4">
        <f t="shared" si="4"/>
        <v>0.6485623003194565</v>
      </c>
    </row>
    <row r="315" spans="2:22" x14ac:dyDescent="0.2">
      <c r="B315" s="17" t="s">
        <v>71</v>
      </c>
      <c r="C315" t="s">
        <v>68</v>
      </c>
      <c r="D315" s="2">
        <v>1.0326388888888889</v>
      </c>
      <c r="E315" t="s">
        <v>69</v>
      </c>
      <c r="F315" s="16">
        <v>15</v>
      </c>
      <c r="G315" s="1"/>
      <c r="H315" s="6"/>
      <c r="U315" s="2">
        <f>中央線快速_東京方面_平日6[[#This Row],[発車時刻(Time)]]-$D314</f>
        <v>1.0416666666666519E-2</v>
      </c>
      <c r="V315" s="4">
        <f t="shared" si="4"/>
        <v>0.25942492012779922</v>
      </c>
    </row>
    <row r="316" spans="2:22" x14ac:dyDescent="0.2">
      <c r="B316" s="17" t="s">
        <v>71</v>
      </c>
      <c r="C316" t="s">
        <v>68</v>
      </c>
      <c r="D316" s="2">
        <v>1.0416666666666667</v>
      </c>
      <c r="E316" t="s">
        <v>69</v>
      </c>
      <c r="F316" s="16">
        <v>15</v>
      </c>
      <c r="G316" s="1"/>
      <c r="H316" s="6"/>
      <c r="U316" s="2">
        <f>中央線快速_東京方面_平日6[[#This Row],[発車時刻(Time)]]-$D315</f>
        <v>9.0277777777778567E-3</v>
      </c>
      <c r="V316" s="4">
        <f t="shared" si="4"/>
        <v>0.29933644630129991</v>
      </c>
    </row>
    <row r="317" spans="2:22" x14ac:dyDescent="0.2">
      <c r="U317" s="2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16">
      <formula1>路線名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路線</vt:lpstr>
      <vt:lpstr>中央線快速_八王子・大月方面(下り)_平日</vt:lpstr>
      <vt:lpstr>中央線快速_東京方面(上り)_平日</vt:lpstr>
      <vt:lpstr>山手線_池袋・上野方面(外回り)_平日</vt:lpstr>
      <vt:lpstr>計算用紙</vt:lpstr>
      <vt:lpstr>'山手線_池袋・上野方面(外回り)_平日'!路線名</vt:lpstr>
      <vt:lpstr>'中央線快速_八王子・大月方面(下り)_平日'!路線名</vt:lpstr>
      <vt:lpstr>路線名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ぺぽらポッド改弐号機α</dc:creator>
  <cp:lastModifiedBy>ぺぽらポッド</cp:lastModifiedBy>
  <dcterms:created xsi:type="dcterms:W3CDTF">2017-09-08T09:45:15Z</dcterms:created>
  <dcterms:modified xsi:type="dcterms:W3CDTF">2017-09-10T05:55:49Z</dcterms:modified>
</cp:coreProperties>
</file>